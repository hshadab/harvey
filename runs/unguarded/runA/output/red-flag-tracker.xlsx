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d Flag Tracker" sheetId="2" state="visible" r:id="rId2"/>
    <sheet xmlns:r="http://schemas.openxmlformats.org/officeDocument/2006/relationships" name="Financial Impact Summary" sheetId="3" state="visible" r:id="rId3"/>
    <sheet xmlns:r="http://schemas.openxmlformats.org/officeDocument/2006/relationships" name="Action Items &amp; Closing Conds" sheetId="4" state="visible" r:id="rId4"/>
    <sheet xmlns:r="http://schemas.openxmlformats.org/officeDocument/2006/relationships" name="EBITDA Bridge Analysis" sheetId="5" state="visible" r:id="rId5"/>
    <sheet xmlns:r="http://schemas.openxmlformats.org/officeDocument/2006/relationships" name="Environmental 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8"/>
    </font>
    <font>
      <name val="Calibri"/>
      <b val="1"/>
      <color rgb="002E4A7A"/>
      <sz val="20"/>
    </font>
    <font>
      <name val="Calibri"/>
      <b val="1"/>
      <color rgb="00C00000"/>
      <sz val="20"/>
    </font>
    <font>
      <name val="Calibri"/>
      <b val="1"/>
      <color rgb="00FF0000"/>
      <sz val="20"/>
    </font>
    <font>
      <name val="Calibri"/>
      <b val="1"/>
      <color rgb="00FF8C00"/>
      <sz val="20"/>
    </font>
    <font>
      <name val="Calibri"/>
      <b val="1"/>
      <color rgb="00FFD700"/>
      <sz val="20"/>
    </font>
    <font>
      <name val="Calibri"/>
      <b val="1"/>
      <color rgb="00C55A11"/>
      <sz val="20"/>
    </font>
    <font>
      <name val="Calibri"/>
      <b val="1"/>
      <color rgb="004472C4"/>
      <sz val="20"/>
    </font>
    <font>
      <name val="Calibri"/>
      <b val="1"/>
      <color rgb="0070AD47"/>
      <sz val="2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C00000"/>
      <sz val="9"/>
    </font>
    <font>
      <name val="Calibri"/>
      <color rgb="00595959"/>
      <sz val="9"/>
    </font>
    <font>
      <name val="Calibri"/>
      <b val="1"/>
      <color rgb="00FFFFFF"/>
      <sz val="14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C55A11"/>
      </patternFill>
    </fill>
    <fill>
      <patternFill patternType="solid">
        <fgColor rgb="0070AD47"/>
      </patternFill>
    </fill>
    <fill>
      <patternFill patternType="solid">
        <fgColor rgb="00D6E4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top" wrapText="1"/>
    </xf>
    <xf numFmtId="0" fontId="18" fillId="1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164" fontId="18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164" fontId="18" fillId="1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164" fontId="19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0" fillId="13" borderId="1" pivotButton="0" quotePrefix="0" xfId="0"/>
    <xf numFmtId="0" fontId="0" fillId="3" borderId="1" pivotButton="0" quotePrefix="0" xfId="0"/>
    <xf numFmtId="0" fontId="21" fillId="3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3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3" fontId="18" fillId="13" borderId="1" applyAlignment="1" pivotButton="0" quotePrefix="0" xfId="0">
      <alignment horizontal="center" vertical="center" wrapText="1"/>
    </xf>
    <xf numFmtId="3" fontId="14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0" customHeight="1">
      <c r="A1" s="1" t="inlineStr">
        <is>
          <t>PROJECT RIDGELINE — DUE DILIGENCE RED FLAG TRACKER</t>
        </is>
      </c>
    </row>
    <row r="2" ht="20" customHeight="1">
      <c r="A2" s="2" t="inlineStr">
        <is>
          <t>Proposed Acquisition of Ridgeline Environmental Services, Inc. by Sycamore Capital Partners, LP</t>
        </is>
      </c>
    </row>
    <row r="3" ht="16" customHeight="1">
      <c r="A3" s="3" t="inlineStr">
        <is>
          <t>CONFIDENTIAL — For Internal Use Only | December 2024</t>
        </is>
      </c>
    </row>
    <row r="4" ht="8" customHeight="1"/>
    <row r="5" ht="14" customHeight="1">
      <c r="A5" s="4" t="inlineStr">
        <is>
          <t>Total Red Flags</t>
        </is>
      </c>
      <c r="B5" s="5" t="inlineStr">
        <is>
          <t>Critical</t>
        </is>
      </c>
      <c r="C5" s="6" t="inlineStr">
        <is>
          <t>High</t>
        </is>
      </c>
      <c r="D5" s="7" t="inlineStr">
        <is>
          <t>Medium</t>
        </is>
      </c>
      <c r="E5" s="8" t="inlineStr">
        <is>
          <t>Low</t>
        </is>
      </c>
      <c r="F5" s="9" t="inlineStr">
        <is>
          <t>Open</t>
        </is>
      </c>
      <c r="G5" s="10" t="inlineStr">
        <is>
          <t>In Progress</t>
        </is>
      </c>
      <c r="H5" s="11" t="inlineStr">
        <is>
          <t>Resolved</t>
        </is>
      </c>
    </row>
    <row r="6" ht="36" customHeight="1">
      <c r="A6" s="12" t="n">
        <v>22</v>
      </c>
      <c r="B6" s="13" t="n">
        <v>1</v>
      </c>
      <c r="C6" s="14" t="n">
        <v>8</v>
      </c>
      <c r="D6" s="15" t="n">
        <v>9</v>
      </c>
      <c r="E6" s="16" t="n">
        <v>3</v>
      </c>
      <c r="F6" s="17" t="n">
        <v>22</v>
      </c>
      <c r="G6" s="18" t="n">
        <v>0</v>
      </c>
      <c r="H6" s="19" t="n">
        <v>0</v>
      </c>
    </row>
    <row r="7" ht="20" customHeight="1"/>
    <row r="8" ht="8" customHeight="1"/>
    <row r="9" ht="14" customHeight="1">
      <c r="A9" s="20" t="inlineStr">
        <is>
          <t>KEY FINANCIAL METRICS AT RISK</t>
        </is>
      </c>
    </row>
    <row r="10" ht="18" customHeight="1">
      <c r="A10" s="21" t="inlineStr">
        <is>
          <t>Indicative EV Range</t>
        </is>
      </c>
      <c r="B10" s="22" t="n"/>
      <c r="C10" s="22" t="n"/>
      <c r="D10" s="23" t="n"/>
      <c r="E10" s="24" t="inlineStr">
        <is>
          <t>$182M – $205M</t>
        </is>
      </c>
      <c r="F10" s="22" t="n"/>
      <c r="G10" s="23" t="n"/>
      <c r="H10" s="25" t="inlineStr">
        <is>
          <t>8.0x–9.0x Adj. EBITDA</t>
        </is>
      </c>
      <c r="I10" s="22" t="n"/>
      <c r="J10" s="22" t="n"/>
      <c r="K10" s="22" t="n"/>
      <c r="L10" s="23" t="n"/>
    </row>
    <row r="11" ht="18" customHeight="1">
      <c r="A11" s="26" t="inlineStr">
        <is>
          <t>Management Adj. EBITDA (CIM)</t>
        </is>
      </c>
      <c r="B11" s="22" t="n"/>
      <c r="C11" s="22" t="n"/>
      <c r="D11" s="23" t="n"/>
      <c r="E11" s="27" t="inlineStr">
        <is>
          <t>$22.8M</t>
        </is>
      </c>
      <c r="F11" s="22" t="n"/>
      <c r="G11" s="23" t="n"/>
      <c r="H11" s="28" t="inlineStr">
        <is>
          <t>Basis for valuation</t>
        </is>
      </c>
      <c r="I11" s="22" t="n"/>
      <c r="J11" s="22" t="n"/>
      <c r="K11" s="22" t="n"/>
      <c r="L11" s="23" t="n"/>
    </row>
    <row r="12" ht="18" customHeight="1">
      <c r="A12" s="21" t="inlineStr">
        <is>
          <t>QoE Adj. EBITDA</t>
        </is>
      </c>
      <c r="B12" s="22" t="n"/>
      <c r="C12" s="22" t="n"/>
      <c r="D12" s="23" t="n"/>
      <c r="E12" s="24" t="inlineStr">
        <is>
          <t>$23.8M</t>
        </is>
      </c>
      <c r="F12" s="22" t="n"/>
      <c r="G12" s="23" t="n"/>
      <c r="H12" s="25" t="inlineStr">
        <is>
          <t>$1.0M unreconciled gap</t>
        </is>
      </c>
      <c r="I12" s="22" t="n"/>
      <c r="J12" s="22" t="n"/>
      <c r="K12" s="22" t="n"/>
      <c r="L12" s="23" t="n"/>
    </row>
    <row r="13" ht="18" customHeight="1">
      <c r="A13" s="26" t="inlineStr">
        <is>
          <t>Estimated Sustainable EBITDA</t>
        </is>
      </c>
      <c r="B13" s="22" t="n"/>
      <c r="C13" s="22" t="n"/>
      <c r="D13" s="23" t="n"/>
      <c r="E13" s="27" t="inlineStr">
        <is>
          <t>$19.5M – $21.0M</t>
        </is>
      </c>
      <c r="F13" s="22" t="n"/>
      <c r="G13" s="23" t="n"/>
      <c r="H13" s="28" t="inlineStr">
        <is>
          <t>After removing questionable add-backs</t>
        </is>
      </c>
      <c r="I13" s="22" t="n"/>
      <c r="J13" s="22" t="n"/>
      <c r="K13" s="22" t="n"/>
      <c r="L13" s="23" t="n"/>
    </row>
    <row r="14" ht="18" customHeight="1">
      <c r="A14" s="21" t="inlineStr">
        <is>
          <t>DOE Revenue at Risk (FY2025)</t>
        </is>
      </c>
      <c r="B14" s="22" t="n"/>
      <c r="C14" s="22" t="n"/>
      <c r="D14" s="23" t="n"/>
      <c r="E14" s="24" t="inlineStr">
        <is>
          <t>$12.1M+</t>
        </is>
      </c>
      <c r="F14" s="22" t="n"/>
      <c r="G14" s="23" t="n"/>
      <c r="H14" s="25" t="inlineStr">
        <is>
          <t>IDIQ ceiling exhaustion ~Apr 2025</t>
        </is>
      </c>
      <c r="I14" s="22" t="n"/>
      <c r="J14" s="22" t="n"/>
      <c r="K14" s="22" t="n"/>
      <c r="L14" s="23" t="n"/>
    </row>
    <row r="15" ht="18" customHeight="1">
      <c r="A15" s="26" t="inlineStr">
        <is>
          <t>SLC Facility Revenue at Risk</t>
        </is>
      </c>
      <c r="B15" s="22" t="n"/>
      <c r="C15" s="22" t="n"/>
      <c r="D15" s="23" t="n"/>
      <c r="E15" s="27" t="inlineStr">
        <is>
          <t>$16.2M</t>
        </is>
      </c>
      <c r="F15" s="22" t="n"/>
      <c r="G15" s="23" t="n"/>
      <c r="H15" s="28" t="inlineStr">
        <is>
          <t>Lease/permit dual default risk</t>
        </is>
      </c>
      <c r="I15" s="22" t="n"/>
      <c r="J15" s="22" t="n"/>
      <c r="K15" s="22" t="n"/>
      <c r="L15" s="23" t="n"/>
    </row>
    <row r="16" ht="18" customHeight="1">
      <c r="A16" s="21" t="inlineStr">
        <is>
          <t>Mandatory Debt Repayment</t>
        </is>
      </c>
      <c r="B16" s="22" t="n"/>
      <c r="C16" s="22" t="n"/>
      <c r="D16" s="23" t="n"/>
      <c r="E16" s="24" t="inlineStr">
        <is>
          <t>$39.2M+</t>
        </is>
      </c>
      <c r="F16" s="22" t="n"/>
      <c r="G16" s="23" t="n"/>
      <c r="H16" s="25" t="inlineStr">
        <is>
          <t>Change-of-control trigger</t>
        </is>
      </c>
      <c r="I16" s="22" t="n"/>
      <c r="J16" s="22" t="n"/>
      <c r="K16" s="22" t="n"/>
      <c r="L16" s="23" t="n"/>
    </row>
    <row r="17" ht="18" customHeight="1">
      <c r="A17" s="26" t="inlineStr">
        <is>
          <t>CoC Severance (Certain)</t>
        </is>
      </c>
      <c r="B17" s="22" t="n"/>
      <c r="C17" s="22" t="n"/>
      <c r="D17" s="23" t="n"/>
      <c r="E17" s="27" t="inlineStr">
        <is>
          <t>$2.625M</t>
        </is>
      </c>
      <c r="F17" s="22" t="n"/>
      <c r="G17" s="23" t="n"/>
      <c r="H17" s="28" t="inlineStr">
        <is>
          <t>Single-trigger; Calloway brothers</t>
        </is>
      </c>
      <c r="I17" s="22" t="n"/>
      <c r="J17" s="22" t="n"/>
      <c r="K17" s="22" t="n"/>
      <c r="L17" s="23" t="n"/>
    </row>
    <row r="18" ht="18" customHeight="1">
      <c r="A18" s="21" t="inlineStr">
        <is>
          <t>Fleet Replacement Backlog</t>
        </is>
      </c>
      <c r="B18" s="22" t="n"/>
      <c r="C18" s="22" t="n"/>
      <c r="D18" s="23" t="n"/>
      <c r="E18" s="24" t="inlineStr">
        <is>
          <t>$9.8M</t>
        </is>
      </c>
      <c r="F18" s="22" t="n"/>
      <c r="G18" s="23" t="n"/>
      <c r="H18" s="25" t="inlineStr">
        <is>
          <t>44.7% of fleet past useful life</t>
        </is>
      </c>
      <c r="I18" s="22" t="n"/>
      <c r="J18" s="22" t="n"/>
      <c r="K18" s="22" t="n"/>
      <c r="L18" s="23" t="n"/>
    </row>
    <row r="19" ht="18" customHeight="1">
      <c r="A19" s="26" t="inlineStr">
        <is>
          <t>Grand Junction Remediation</t>
        </is>
      </c>
      <c r="B19" s="22" t="n"/>
      <c r="C19" s="22" t="n"/>
      <c r="D19" s="23" t="n"/>
      <c r="E19" s="27" t="inlineStr">
        <is>
          <t>$1.8M – $5M+</t>
        </is>
      </c>
      <c r="F19" s="22" t="n"/>
      <c r="G19" s="23" t="n"/>
      <c r="H19" s="28" t="inlineStr">
        <is>
          <t>2019 estimate; stale; uninsured</t>
        </is>
      </c>
      <c r="I19" s="22" t="n"/>
      <c r="J19" s="22" t="n"/>
      <c r="K19" s="22" t="n"/>
      <c r="L19" s="23" t="n"/>
    </row>
    <row r="20" ht="18" customHeight="1">
      <c r="A20" s="21" t="inlineStr">
        <is>
          <t>CDPHE Penalty Exposure</t>
        </is>
      </c>
      <c r="B20" s="22" t="n"/>
      <c r="C20" s="22" t="n"/>
      <c r="D20" s="23" t="n"/>
      <c r="E20" s="24" t="inlineStr">
        <is>
          <t>$200K – $1.16M</t>
        </is>
      </c>
      <c r="F20" s="22" t="n"/>
      <c r="G20" s="23" t="n"/>
      <c r="H20" s="25" t="inlineStr">
        <is>
          <t>Active enforcement action</t>
        </is>
      </c>
      <c r="I20" s="22" t="n"/>
      <c r="J20" s="22" t="n"/>
      <c r="K20" s="22" t="n"/>
      <c r="L20" s="23" t="n"/>
    </row>
    <row r="21" ht="18" customHeight="1">
      <c r="A21" s="26" t="inlineStr">
        <is>
          <t>Aggregate Contingent Exposure</t>
        </is>
      </c>
      <c r="B21" s="22" t="n"/>
      <c r="C21" s="22" t="n"/>
      <c r="D21" s="23" t="n"/>
      <c r="E21" s="27" t="inlineStr">
        <is>
          <t>$800K – $2.49M</t>
        </is>
      </c>
      <c r="F21" s="22" t="n"/>
      <c r="G21" s="23" t="n"/>
      <c r="H21" s="28" t="inlineStr">
        <is>
          <t>Unreserved; per litigation summary</t>
        </is>
      </c>
      <c r="I21" s="22" t="n"/>
      <c r="J21" s="22" t="n"/>
      <c r="K21" s="22" t="n"/>
      <c r="L21" s="23" t="n"/>
    </row>
  </sheetData>
  <mergeCells count="40">
    <mergeCell ref="E10:G10"/>
    <mergeCell ref="A17:D17"/>
    <mergeCell ref="E13:G13"/>
    <mergeCell ref="E19:G19"/>
    <mergeCell ref="H20:L20"/>
    <mergeCell ref="A20:D20"/>
    <mergeCell ref="H10:L10"/>
    <mergeCell ref="A19:D19"/>
    <mergeCell ref="A3:L3"/>
    <mergeCell ref="A10:D10"/>
    <mergeCell ref="E15:G15"/>
    <mergeCell ref="A13:D13"/>
    <mergeCell ref="A2:L2"/>
    <mergeCell ref="E11:G11"/>
    <mergeCell ref="H21:L21"/>
    <mergeCell ref="A15:D15"/>
    <mergeCell ref="A11:D11"/>
    <mergeCell ref="E16:G16"/>
    <mergeCell ref="H17:L17"/>
    <mergeCell ref="H11:L11"/>
    <mergeCell ref="H16:L16"/>
    <mergeCell ref="E12:G12"/>
    <mergeCell ref="E18:G18"/>
    <mergeCell ref="A9:L9"/>
    <mergeCell ref="H13:L13"/>
    <mergeCell ref="A16:D16"/>
    <mergeCell ref="H19:L19"/>
    <mergeCell ref="E21:G21"/>
    <mergeCell ref="A18:D18"/>
    <mergeCell ref="H12:L12"/>
    <mergeCell ref="E14:G14"/>
    <mergeCell ref="A12:D12"/>
    <mergeCell ref="H15:L15"/>
    <mergeCell ref="A1:L1"/>
    <mergeCell ref="A21:D21"/>
    <mergeCell ref="E17:G17"/>
    <mergeCell ref="H18:L18"/>
    <mergeCell ref="H14:L14"/>
    <mergeCell ref="E20:G2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10" customWidth="1" min="4" max="4"/>
    <col width="22" customWidth="1" min="5" max="5"/>
    <col width="48" customWidth="1" min="6" max="6"/>
    <col width="20" customWidth="1" min="7" max="7"/>
    <col width="12" customWidth="1" min="8" max="8"/>
    <col width="14" customWidth="1" min="9" max="9"/>
    <col width="12" customWidth="1" min="10" max="10"/>
    <col width="38" customWidth="1" min="11" max="11"/>
    <col width="28" customWidth="1" min="12" max="12"/>
    <col width="12" customWidth="1" min="13" max="13"/>
    <col width="12" customWidth="1" min="14" max="14"/>
    <col width="28" customWidth="1" min="15" max="15"/>
    <col width="9" customWidth="1" min="16" max="16"/>
  </cols>
  <sheetData>
    <row r="1" ht="28" customHeight="1">
      <c r="A1" s="29" t="inlineStr">
        <is>
          <t>PROJECT RIDGELINE — RED FLAG TRACKER</t>
        </is>
      </c>
    </row>
    <row r="2" ht="14" customHeight="1">
      <c r="A2" s="30" t="inlineStr">
        <is>
          <t>Ridgeline Environmental Services, Inc. | Sycamore Capital Partners, LP | December 2024 | CONFIDENTIAL</t>
        </is>
      </c>
    </row>
    <row r="3" ht="6" customHeight="1"/>
    <row r="4" ht="28" customHeight="1">
      <c r="A4" s="31" t="inlineStr">
        <is>
          <t>ID</t>
        </is>
      </c>
      <c r="B4" s="31" t="inlineStr">
        <is>
          <t>Category</t>
        </is>
      </c>
      <c r="C4" s="31" t="inlineStr">
        <is>
          <t>Red Flag / Issue</t>
        </is>
      </c>
      <c r="D4" s="31" t="inlineStr">
        <is>
          <t>Severity</t>
        </is>
      </c>
      <c r="E4" s="31" t="inlineStr">
        <is>
          <t>Source Document(s)</t>
        </is>
      </c>
      <c r="F4" s="31" t="inlineStr">
        <is>
          <t>Key Facts / Finding</t>
        </is>
      </c>
      <c r="G4" s="31" t="inlineStr">
        <is>
          <t>Est. Financial Impact</t>
        </is>
      </c>
      <c r="H4" s="31" t="inlineStr">
        <is>
          <t>Probability</t>
        </is>
      </c>
      <c r="I4" s="31" t="inlineStr">
        <is>
          <t>Accrued / Reserved</t>
        </is>
      </c>
      <c r="J4" s="31" t="inlineStr">
        <is>
          <t>Status</t>
        </is>
      </c>
      <c r="K4" s="31" t="inlineStr">
        <is>
          <t>Recommended Action</t>
        </is>
      </c>
      <c r="L4" s="31" t="inlineStr">
        <is>
          <t>SPA / Closing Condition</t>
        </is>
      </c>
      <c r="M4" s="31" t="inlineStr">
        <is>
          <t>Owner</t>
        </is>
      </c>
      <c r="N4" s="31" t="inlineStr">
        <is>
          <t>Target Date</t>
        </is>
      </c>
      <c r="O4" s="31" t="inlineStr">
        <is>
          <t>Resolution Notes</t>
        </is>
      </c>
      <c r="P4" s="31" t="inlineStr">
        <is>
          <t>Priority</t>
        </is>
      </c>
    </row>
    <row r="5" ht="60" customHeight="1">
      <c r="A5" s="32" t="inlineStr">
        <is>
          <t>RF-01</t>
        </is>
      </c>
      <c r="B5" s="32" t="inlineStr">
        <is>
          <t>Financial / QoE</t>
        </is>
      </c>
      <c r="C5" s="32" t="inlineStr">
        <is>
          <t>EBITDA Discrepancy: CIM ($22.8M) vs. QoE Data ($23.8M)</t>
        </is>
      </c>
      <c r="D5" s="33" t="inlineStr">
        <is>
          <t>HIGH</t>
        </is>
      </c>
      <c r="E5" s="32" t="inlineStr">
        <is>
          <t>CIM §VI.B; QoE EBITDA Bridge Tab</t>
        </is>
      </c>
      <c r="F5" s="32" t="inlineStr">
        <is>
          <t>$1.0M gap between CIM Adj. EBITDA ($22.8M) and QoE data package ($23.8M). Management has not identified the source of the discrepancy. At 8.0x–9.0x, this implies an $8–9M valuation swing.</t>
        </is>
      </c>
      <c r="G5" s="32" t="inlineStr">
        <is>
          <t>$8M–$9M EV impact</t>
        </is>
      </c>
      <c r="H5" s="32" t="inlineStr">
        <is>
          <t>Certain</t>
        </is>
      </c>
      <c r="I5" s="32" t="inlineStr">
        <is>
          <t>N/A</t>
        </is>
      </c>
      <c r="J5" s="34" t="inlineStr">
        <is>
          <t>Open</t>
        </is>
      </c>
      <c r="K5" s="32" t="inlineStr">
        <is>
          <t>Require fully reconciled EBITDA bridge with line-item support before finalizing purchase price. QoE firm to resolve as priority deliverable.</t>
        </is>
      </c>
      <c r="L5" s="32" t="inlineStr">
        <is>
          <t>Representation re: accuracy of financial statements; QoE deliverable as closing condition</t>
        </is>
      </c>
      <c r="M5" s="32" t="inlineStr">
        <is>
          <t>Bridgewater Forsyth</t>
        </is>
      </c>
      <c r="N5" s="32" t="inlineStr">
        <is>
          <t>Pre-Signing</t>
        </is>
      </c>
      <c r="O5" s="32" t="inlineStr"/>
      <c r="P5" s="35" t="n">
        <v>1</v>
      </c>
    </row>
    <row r="6" ht="60" customHeight="1">
      <c r="A6" s="36" t="inlineStr">
        <is>
          <t>RF-02</t>
        </is>
      </c>
      <c r="B6" s="36" t="inlineStr">
        <is>
          <t>Financial / QoE</t>
        </is>
      </c>
      <c r="C6" s="36" t="inlineStr">
        <is>
          <t>Aggressive / Recurring EBITDA Add-Backs ($5.4M)</t>
        </is>
      </c>
      <c r="D6" s="33" t="inlineStr">
        <is>
          <t>HIGH</t>
        </is>
      </c>
      <c r="E6" s="36" t="inlineStr">
        <is>
          <t>CIM §VI.B; QoE EBITDA Bridge; Credit Agreement §4</t>
        </is>
      </c>
      <c r="F6" s="36" t="inlineStr">
        <is>
          <t>Add-backs include: (1) Integration costs appearing 3 consecutive years ($800K FY24); (2) ERP costs with Phase 2 ongoing ($650K); (3) Owner comp normalization ($950K) — Calloways staying post-close; (4) Litigation settlement is a RECEIPT not a payment ($1.2M); (5) Asbestos wind-down ($1.8M). Estimated sustainable Adj. EBITDA: $19.5–$21.0M.</t>
        </is>
      </c>
      <c r="G6" s="36" t="inlineStr">
        <is>
          <t>$2.5M–$3.5M EBITDA overstatement; $20–31M EV impact</t>
        </is>
      </c>
      <c r="H6" s="36" t="inlineStr">
        <is>
          <t>Probable</t>
        </is>
      </c>
      <c r="I6" s="36" t="inlineStr">
        <is>
          <t>N/A</t>
        </is>
      </c>
      <c r="J6" s="37" t="inlineStr">
        <is>
          <t>Open</t>
        </is>
      </c>
      <c r="K6" s="36" t="inlineStr">
        <is>
          <t>Challenge each add-back category. Recast EBITDA using only clearly non-recurring items. Adjust purchase price accordingly.</t>
        </is>
      </c>
      <c r="L6" s="36" t="inlineStr">
        <is>
          <t>EBITDA definition in SPA; representations re: non-recurring nature of adjustments</t>
        </is>
      </c>
      <c r="M6" s="36" t="inlineStr">
        <is>
          <t>Buyer / Bridgewater Forsyth</t>
        </is>
      </c>
      <c r="N6" s="36" t="inlineStr">
        <is>
          <t>Pre-Signing</t>
        </is>
      </c>
      <c r="O6" s="36" t="inlineStr"/>
      <c r="P6" s="38" t="n">
        <v>1</v>
      </c>
    </row>
    <row r="7" ht="60" customHeight="1">
      <c r="A7" s="32" t="inlineStr">
        <is>
          <t>RF-03</t>
        </is>
      </c>
      <c r="B7" s="32" t="inlineStr">
        <is>
          <t>Financial / QoE</t>
        </is>
      </c>
      <c r="C7" s="32" t="inlineStr">
        <is>
          <t>Bank EBITDA ($18.4M) vs. Management EBITDA ($22.8M) — $4.4M Gap</t>
        </is>
      </c>
      <c r="D7" s="39" t="inlineStr">
        <is>
          <t>MEDIUM</t>
        </is>
      </c>
      <c r="E7" s="32" t="inlineStr">
        <is>
          <t>Credit Agreement Summary §4; CIM §VI.B</t>
        </is>
      </c>
      <c r="F7" s="32" t="inlineStr">
        <is>
          <t>Bank's Consolidated EBITDA definition caps non-recurring add-backs at $500K/year. Bank EBITDA = $18.4M; Management EBITDA = $22.8M. Bank leverage = 2.10x (not 1.70x as presented). Confirms add-backs are not independently validated.</t>
        </is>
      </c>
      <c r="G7" s="32" t="inlineStr">
        <is>
          <t>$4.4M EBITDA gap; leverage 2.10x vs. 1.70x presented</t>
        </is>
      </c>
      <c r="H7" s="32" t="inlineStr">
        <is>
          <t>Certain</t>
        </is>
      </c>
      <c r="I7" s="32" t="inlineStr">
        <is>
          <t>N/A</t>
        </is>
      </c>
      <c r="J7" s="34" t="inlineStr">
        <is>
          <t>Open</t>
        </is>
      </c>
      <c r="K7" s="32" t="inlineStr">
        <is>
          <t>Use bank EBITDA as cross-check. Require Bridgewater Forsyth to validate each add-back against bank definition.</t>
        </is>
      </c>
      <c r="L7" s="32" t="inlineStr">
        <is>
          <t>Representations re: financial statements; covenant compliance certificate</t>
        </is>
      </c>
      <c r="M7" s="32" t="inlineStr">
        <is>
          <t>Buyer / Bridgewater Forsyth</t>
        </is>
      </c>
      <c r="N7" s="32" t="inlineStr">
        <is>
          <t>Pre-Signing</t>
        </is>
      </c>
      <c r="O7" s="32" t="inlineStr"/>
      <c r="P7" s="35" t="n">
        <v>2</v>
      </c>
    </row>
    <row r="8" ht="60" customHeight="1">
      <c r="A8" s="36" t="inlineStr">
        <is>
          <t>RF-04</t>
        </is>
      </c>
      <c r="B8" s="36" t="inlineStr">
        <is>
          <t>Financial / QoE</t>
        </is>
      </c>
      <c r="C8" s="36" t="inlineStr">
        <is>
          <t>Reported EBITDA Declined 27% YoY in FY2024</t>
        </is>
      </c>
      <c r="D8" s="39" t="inlineStr">
        <is>
          <t>MEDIUM</t>
        </is>
      </c>
      <c r="E8" s="36" t="inlineStr">
        <is>
          <t>QoE Historical P&amp;L Tab</t>
        </is>
      </c>
      <c r="F8" s="36" t="inlineStr">
        <is>
          <t>Reported EBITDA (management presentation) declined from $25.2M (FY2023) to $18.4M (FY2024) — a 27% decline — while revenue grew 11.1%. Adjusted EBITDA margin compressed from 24.5% (FY2023) to 18.7% (FY2024). CIM does not present historical Adjusted EBITDA for prior years.</t>
        </is>
      </c>
      <c r="G8" s="36" t="inlineStr">
        <is>
          <t>Margin compression signal; trend analysis obscured</t>
        </is>
      </c>
      <c r="H8" s="36" t="inlineStr">
        <is>
          <t>Certain</t>
        </is>
      </c>
      <c r="I8" s="36" t="inlineStr">
        <is>
          <t>N/A</t>
        </is>
      </c>
      <c r="J8" s="37" t="inlineStr">
        <is>
          <t>Open</t>
        </is>
      </c>
      <c r="K8" s="36" t="inlineStr">
        <is>
          <t>Require full multi-year Adjusted EBITDA bridge (FY2020–FY2024) to assess whether margin compression is structural.</t>
        </is>
      </c>
      <c r="L8" s="36" t="inlineStr">
        <is>
          <t>Representations re: financial condition; MAC definition</t>
        </is>
      </c>
      <c r="M8" s="36" t="inlineStr">
        <is>
          <t>Buyer / Bridgewater Forsyth</t>
        </is>
      </c>
      <c r="N8" s="36" t="inlineStr">
        <is>
          <t>Pre-Signing</t>
        </is>
      </c>
      <c r="O8" s="36" t="inlineStr"/>
      <c r="P8" s="38" t="n">
        <v>2</v>
      </c>
    </row>
    <row r="9" ht="60" customHeight="1">
      <c r="A9" s="32" t="inlineStr">
        <is>
          <t>RF-05</t>
        </is>
      </c>
      <c r="B9" s="32" t="inlineStr">
        <is>
          <t>Financial / QoE</t>
        </is>
      </c>
      <c r="C9" s="32" t="inlineStr">
        <is>
          <t>Fleet Replacement Backlog — Understated Maintenance CapEx</t>
        </is>
      </c>
      <c r="D9" s="39" t="inlineStr">
        <is>
          <t>MEDIUM</t>
        </is>
      </c>
      <c r="E9" s="32" t="inlineStr">
        <is>
          <t>QoE Fleet &amp; Equipment Schedule; CapEx Detail Tab</t>
        </is>
      </c>
      <c r="F9" s="32" t="inlineStr">
        <is>
          <t>38 of 85 fleet assets (44.7%) are at or past stated useful life. Average fleet age 8.2 years vs. 7.0-year useful life. Replacement cost for past-life units: $9.8M. Catch-up CapEx ~$3.3M/year above current run-rate. Management's normalized maintenance CapEx of $4.0–$4.5M appears understated by ~$3.3M/year.</t>
        </is>
      </c>
      <c r="G9" s="32" t="inlineStr">
        <is>
          <t>$3.3M/yr incremental CapEx; $9.8M backlog</t>
        </is>
      </c>
      <c r="H9" s="32" t="inlineStr">
        <is>
          <t>Probable</t>
        </is>
      </c>
      <c r="I9" s="32" t="inlineStr">
        <is>
          <t>N/A</t>
        </is>
      </c>
      <c r="J9" s="34" t="inlineStr">
        <is>
          <t>Open</t>
        </is>
      </c>
      <c r="K9" s="32" t="inlineStr">
        <is>
          <t>Commission independent fleet condition assessment. Adjust CapEx model and free cash flow projections.</t>
        </is>
      </c>
      <c r="L9" s="32" t="inlineStr">
        <is>
          <t>Representations re: condition of assets; CapEx schedule in SPA</t>
        </is>
      </c>
      <c r="M9" s="32" t="inlineStr">
        <is>
          <t>Buyer / Operations Advisor</t>
        </is>
      </c>
      <c r="N9" s="32" t="inlineStr">
        <is>
          <t>Pre-Signing</t>
        </is>
      </c>
      <c r="O9" s="32" t="inlineStr"/>
      <c r="P9" s="35" t="n">
        <v>2</v>
      </c>
    </row>
    <row r="10" ht="60" customHeight="1">
      <c r="A10" s="36" t="inlineStr">
        <is>
          <t>RF-06</t>
        </is>
      </c>
      <c r="B10" s="36" t="inlineStr">
        <is>
          <t>Financial / QoE</t>
        </is>
      </c>
      <c r="C10" s="36" t="inlineStr">
        <is>
          <t>FY2024 Financials Unaudited; Auditor Downgrade (Plante Moran → Hansen &amp; Whitfield)</t>
        </is>
      </c>
      <c r="D10" s="39" t="inlineStr">
        <is>
          <t>MEDIUM</t>
        </is>
      </c>
      <c r="E10" s="36" t="inlineStr">
        <is>
          <t>QoE Cover Tab; CIM §VI.A; LOI §8(i)</t>
        </is>
      </c>
      <c r="F10" s="36" t="inlineStr">
        <is>
          <t>FY2024 financials are reviewed but unaudited. Auditor changed from Plante Moran (national firm) to Hansen &amp; Whitfield (local Grand Junction CPA). LOI requires audited FY2022–FY2024 financials as closing condition. Reason for auditor change not disclosed.</t>
        </is>
      </c>
      <c r="G10" s="36" t="inlineStr">
        <is>
          <t>Unquantified; data integrity risk</t>
        </is>
      </c>
      <c r="H10" s="36" t="inlineStr">
        <is>
          <t>N/A</t>
        </is>
      </c>
      <c r="I10" s="36" t="inlineStr">
        <is>
          <t>N/A</t>
        </is>
      </c>
      <c r="J10" s="37" t="inlineStr">
        <is>
          <t>Open</t>
        </is>
      </c>
      <c r="K10" s="36" t="inlineStr">
        <is>
          <t>Require FY2024 audited financials from nationally recognized firm before signing. Investigate reason for auditor change.</t>
        </is>
      </c>
      <c r="L10" s="36" t="inlineStr">
        <is>
          <t>Closing condition: delivery of audited financials (LOI §8(i))</t>
        </is>
      </c>
      <c r="M10" s="36" t="inlineStr">
        <is>
          <t>Buyer / Accounting Advisor</t>
        </is>
      </c>
      <c r="N10" s="36" t="inlineStr">
        <is>
          <t>Pre-Signing</t>
        </is>
      </c>
      <c r="O10" s="36" t="inlineStr"/>
      <c r="P10" s="38" t="n">
        <v>2</v>
      </c>
    </row>
    <row r="11" ht="60" customHeight="1">
      <c r="A11" s="32" t="inlineStr">
        <is>
          <t>RF-07</t>
        </is>
      </c>
      <c r="B11" s="32" t="inlineStr">
        <is>
          <t>Environmental</t>
        </is>
      </c>
      <c r="C11" s="32" t="inlineStr">
        <is>
          <t>Grand Junction Phase II ESA Stale (2019); Unquantified Remediation; Vapor Intrusion Risk</t>
        </is>
      </c>
      <c r="D11" s="33" t="inlineStr">
        <is>
          <t>HIGH</t>
        </is>
      </c>
      <c r="E11" s="32" t="inlineStr">
        <is>
          <t>Phase II ESA Executive Summary; Environmental Permit Schedule §2.1; Litigation Summary §VI.A</t>
        </is>
      </c>
      <c r="F11" s="32" t="inlineStr">
        <is>
          <t>Phase II ESA dated June 2019 — 5+ years stale. Identified: (1) Petroleum hydrocarbons (TPH-diesel 4,200 mg/kg; benzene in GW at 12 µg/L vs. 5 µg/L standard); (2) Chlorinated solvents (PCE 18 mg/kg soil; PCE 22 µg/L GW; TCE 8.7 µg/L GW); (3) Vapor intrusion risk into occupied 28,000 sq ft maintenance building (PCE 450 µg/m³ vs. 240 µg/m³ RSL); (4) No off-site sentinel wells — plume containment unconfirmed. 2019 cost estimate $1.8–$2.6M is stale. Gradual release characterization = PLL policy exclusion applies. No updated ESA commissioned despite Elkhorn's explicit recommendation.</t>
        </is>
      </c>
      <c r="G11" s="32" t="inlineStr">
        <is>
          <t>$2.6M–$5M+ (updated estimate needed); uninsured</t>
        </is>
      </c>
      <c r="H11" s="32" t="inlineStr">
        <is>
          <t>Probable</t>
        </is>
      </c>
      <c r="I11" s="32" t="inlineStr">
        <is>
          <t>$2.2M accrued (portion of $3.2M total)</t>
        </is>
      </c>
      <c r="J11" s="34" t="inlineStr">
        <is>
          <t>Open</t>
        </is>
      </c>
      <c r="K11" s="32" t="inlineStr">
        <is>
          <t>Commission updated Phase II ESA and vapor intrusion assessment immediately. Obtain independent remediation cost estimate. Negotiate specific environmental indemnity with separate escrow.</t>
        </is>
      </c>
      <c r="L11" s="32" t="inlineStr">
        <is>
          <t>Environmental reps (6-yr survival per LOI); specific environmental indemnity; separate escrow; updated ESA as pre-closing deliverable</t>
        </is>
      </c>
      <c r="M11" s="32" t="inlineStr">
        <is>
          <t>Buyer / Environmental Counsel</t>
        </is>
      </c>
      <c r="N11" s="32" t="inlineStr">
        <is>
          <t>Immediate</t>
        </is>
      </c>
      <c r="O11" s="32" t="inlineStr"/>
      <c r="P11" s="35" t="n">
        <v>1</v>
      </c>
    </row>
    <row r="12" ht="60" customHeight="1">
      <c r="A12" s="36" t="inlineStr">
        <is>
          <t>RF-08</t>
        </is>
      </c>
      <c r="B12" s="36" t="inlineStr">
        <is>
          <t>Environmental</t>
        </is>
      </c>
      <c r="C12" s="36" t="inlineStr">
        <is>
          <t>Active CDPHE RCRA Enforcement Action — Grand Junction Facility</t>
        </is>
      </c>
      <c r="D12" s="33" t="inlineStr">
        <is>
          <t>HIGH</t>
        </is>
      </c>
      <c r="E12" s="36" t="inlineStr">
        <is>
          <t>Litigation Summary §III.A; Environmental Permit Schedule §2.1; LOI §5.5</t>
        </is>
      </c>
      <c r="F12" s="36" t="inlineStr">
        <is>
          <t>CDPHE Notice of Violation (Docket CDPHE-HW-2024-0093) issued July 18, 2024. Alleged improper storage of ~14,000 gallons F001/F002 hazardous waste. Company position: 12-day violation = max $450K penalty. CDPHE position: 31-day violation = max $1,162,500. No accrual recorded despite 'Probable' assessment. Could complicate 2026 RCRA permit renewal. Credit Agreement Event of Default threshold: $1M environmental order.</t>
        </is>
      </c>
      <c r="G12" s="36" t="inlineStr">
        <is>
          <t>$200K–$1.16M penalty; permit renewal risk</t>
        </is>
      </c>
      <c r="H12" s="36" t="inlineStr">
        <is>
          <t>Probable (some penalty)</t>
        </is>
      </c>
      <c r="I12" s="36" t="inlineStr">
        <is>
          <t>$0 accrued</t>
        </is>
      </c>
      <c r="J12" s="37" t="inlineStr">
        <is>
          <t>Open</t>
        </is>
      </c>
      <c r="K12" s="36" t="inlineStr">
        <is>
          <t>Require resolution before closing or negotiate specific indemnity with separate escrow. Obtain CDPHE's current negotiating position. Assess impact on 2026 RCRA permit renewal.</t>
        </is>
      </c>
      <c r="L12" s="36" t="inlineStr">
        <is>
          <t>LOI §5.5 specific indemnification; separate escrow; closing condition: resolution or escrow</t>
        </is>
      </c>
      <c r="M12" s="36" t="inlineStr">
        <is>
          <t>Buyer / Environmental Counsel</t>
        </is>
      </c>
      <c r="N12" s="36" t="inlineStr">
        <is>
          <t>Pre-Signing</t>
        </is>
      </c>
      <c r="O12" s="36" t="inlineStr"/>
      <c r="P12" s="38" t="n">
        <v>1</v>
      </c>
    </row>
    <row r="13" ht="60" customHeight="1">
      <c r="A13" s="32" t="inlineStr">
        <is>
          <t>RF-09</t>
        </is>
      </c>
      <c r="B13" s="32" t="inlineStr">
        <is>
          <t>Environmental</t>
        </is>
      </c>
      <c r="C13" s="32" t="inlineStr">
        <is>
          <t>Wyoming Permit WY-HW-2019-033 Expired — Operating Under Timely Renewal</t>
        </is>
      </c>
      <c r="D13" s="39" t="inlineStr">
        <is>
          <t>MEDIUM</t>
        </is>
      </c>
      <c r="E13" s="32" t="inlineStr">
        <is>
          <t>Environmental Permit Schedule §2.4; CIM §V.C</t>
        </is>
      </c>
      <c r="F13" s="32" t="inlineStr">
        <is>
          <t>Wyoming hazardous waste permit expired November 30, 2024. Renewal application filed October 15, 2024. Operating under timely renewal provisions. Casper facility serves ~$30.2M Wyoming revenue (23.7% of total). Renewal expected Q1 2025. Credit Agreement treats permit revocation as Event of Default.</t>
        </is>
      </c>
      <c r="G13" s="32" t="inlineStr">
        <is>
          <t>Operational disruption risk; $30.2M revenue exposure</t>
        </is>
      </c>
      <c r="H13" s="32" t="inlineStr">
        <is>
          <t>Low (renewal expected)</t>
        </is>
      </c>
      <c r="I13" s="32" t="inlineStr">
        <is>
          <t>N/A</t>
        </is>
      </c>
      <c r="J13" s="34" t="inlineStr">
        <is>
          <t>Open</t>
        </is>
      </c>
      <c r="K13" s="32" t="inlineStr">
        <is>
          <t>Obtain written confirmation from Wyoming DEQ of renewal timeline and any outstanding issues. Make permit renewal a closing condition.</t>
        </is>
      </c>
      <c r="L13" s="32" t="inlineStr">
        <is>
          <t>Closing condition: Wyoming permit renewal; representations re: permits in good standing</t>
        </is>
      </c>
      <c r="M13" s="32" t="inlineStr">
        <is>
          <t>Buyer / Environmental Counsel</t>
        </is>
      </c>
      <c r="N13" s="32" t="inlineStr">
        <is>
          <t>Pre-Closing</t>
        </is>
      </c>
      <c r="O13" s="32" t="inlineStr"/>
      <c r="P13" s="35" t="n">
        <v>2</v>
      </c>
    </row>
    <row r="14" ht="60" customHeight="1">
      <c r="A14" s="36" t="inlineStr">
        <is>
          <t>RF-10</t>
        </is>
      </c>
      <c r="B14" s="36" t="inlineStr">
        <is>
          <t>Environmental</t>
        </is>
      </c>
      <c r="C14" s="36" t="inlineStr">
        <is>
          <t>Salt Lake City Permit UTH-0441 Not Transferred — Operating Under Pinnacle's Permit</t>
        </is>
      </c>
      <c r="D14" s="33" t="inlineStr">
        <is>
          <t>HIGH</t>
        </is>
      </c>
      <c r="E14" s="36" t="inlineStr">
        <is>
          <t>Environmental Permit Schedule §2.2; Litigation Summary §III.C; Real Property Lease Schedule §4.1</t>
        </is>
      </c>
      <c r="F14" s="36" t="inlineStr">
        <is>
          <t>Utah Hazardous Waste Transfer Station Permit UTH-0441 remains in Pinnacle Waste Solutions, LLC name — 2.5+ years after March 2022 acquisition. Transfer application pending with Utah Division of Waste Management. RES operating under Pinnacle's permit. Utah Admin Code R315-3 requires Division approval before permit modifications become effective. Proposed Sycamore acquisition may trigger additional scrutiny.</t>
        </is>
      </c>
      <c r="G14" s="36" t="inlineStr">
        <is>
          <t>Regulatory compliance risk; $16.2M SLC revenue at risk</t>
        </is>
      </c>
      <c r="H14" s="36" t="inlineStr">
        <is>
          <t>Reasonably Possible</t>
        </is>
      </c>
      <c r="I14" s="36" t="inlineStr">
        <is>
          <t>N/A</t>
        </is>
      </c>
      <c r="J14" s="37" t="inlineStr">
        <is>
          <t>Open</t>
        </is>
      </c>
      <c r="K14" s="36" t="inlineStr">
        <is>
          <t>Require completion of permit transfer as pre-closing condition. Engage directly with Utah Division of Waste Management. Evaluate whether proposed transaction requires new permit application.</t>
        </is>
      </c>
      <c r="L14" s="36" t="inlineStr">
        <is>
          <t>Pre-closing condition: permit transfer completion; environmental reps</t>
        </is>
      </c>
      <c r="M14" s="36" t="inlineStr">
        <is>
          <t>Buyer / Environmental Counsel</t>
        </is>
      </c>
      <c r="N14" s="36" t="inlineStr">
        <is>
          <t>Pre-Closing</t>
        </is>
      </c>
      <c r="O14" s="36" t="inlineStr"/>
      <c r="P14" s="38" t="n">
        <v>1</v>
      </c>
    </row>
    <row r="15" ht="60" customHeight="1">
      <c r="A15" s="32" t="inlineStr">
        <is>
          <t>RF-11</t>
        </is>
      </c>
      <c r="B15" s="32" t="inlineStr">
        <is>
          <t>Environmental</t>
        </is>
      </c>
      <c r="C15" s="32" t="inlineStr">
        <is>
          <t>Asbestos Long-Tail Liability — Uninsured Pre-2015 Exposure</t>
        </is>
      </c>
      <c r="D15" s="39" t="inlineStr">
        <is>
          <t>MEDIUM</t>
        </is>
      </c>
      <c r="E15" s="32" t="inlineStr">
        <is>
          <t>Litigation Summary §VI.B; Insurance Program Summary §4; QoE Service Line Detail Tab</t>
        </is>
      </c>
      <c r="F15" s="32" t="inlineStr">
        <is>
          <t>Asbestos abatement operated 2012–2023; ~$31.2M cumulative revenue; ~145 sites in CO, UT, WY, MT. PLL policy retroactive date January 1, 2015 — work from 2012–2014 uninsured. CGL has blanket asbestos exclusion; no tail coverage. Two open WC claims from former asbestos employees. No reserve established. Service line generated losses in FY2023 and $1.8M wind-down costs in FY2024.</t>
        </is>
      </c>
      <c r="G15" s="32" t="inlineStr">
        <is>
          <t>Unquantified; potentially material</t>
        </is>
      </c>
      <c r="H15" s="32" t="inlineStr">
        <is>
          <t>Remote (per management)</t>
        </is>
      </c>
      <c r="I15" s="32" t="inlineStr">
        <is>
          <t>$0 accrued</t>
        </is>
      </c>
      <c r="J15" s="34" t="inlineStr">
        <is>
          <t>Open</t>
        </is>
      </c>
      <c r="K15" s="32" t="inlineStr">
        <is>
          <t>Obtain specific asbestos indemnity with 10-year survival. Evaluate asbestos-specific tail policy. Conduct site-by-site review of 145 abatement projects.</t>
        </is>
      </c>
      <c r="L15" s="32" t="inlineStr">
        <is>
          <t>Specific asbestos indemnity; extended survival period (10 years); separate escrow consideration</t>
        </is>
      </c>
      <c r="M15" s="32" t="inlineStr">
        <is>
          <t>Buyer / Insurance Counsel</t>
        </is>
      </c>
      <c r="N15" s="32" t="inlineStr">
        <is>
          <t>Pre-Signing</t>
        </is>
      </c>
      <c r="O15" s="32" t="inlineStr"/>
      <c r="P15" s="35" t="n">
        <v>2</v>
      </c>
    </row>
    <row r="16" ht="60" customHeight="1">
      <c r="A16" s="36" t="inlineStr">
        <is>
          <t>RF-12</t>
        </is>
      </c>
      <c r="B16" s="36" t="inlineStr">
        <is>
          <t>Contractual / Customer</t>
        </is>
      </c>
      <c r="C16" s="36" t="inlineStr">
        <is>
          <t>DOE IDIQ Ceiling Exhaustion — $12.1M+ FY2025 Revenue Headwind</t>
        </is>
      </c>
      <c r="D16" s="40" t="inlineStr">
        <is>
          <t>CRITICAL</t>
        </is>
      </c>
      <c r="E16" s="36" t="inlineStr">
        <is>
          <t>Customer Contract Summary (DOE IDIQ Utilization Tab; Concentration Summary); CIM §VI.D; QoE Revenue Tab</t>
        </is>
      </c>
      <c r="F16" s="36" t="inlineStr">
        <is>
          <t>DOE IDIQ (DE-EM-0005523) = 19.2% of revenue ($24.4M TTM). Remaining ceiling: $12.3M. At $2.03M/month run rate, ceiling exhausted by April–May 2025 — at or before closing. Contract expires August 31, 2026 — 16 months of unfunded period. FY2025 DOE revenue could decline from $24.4M to ≤$12.3M = $12.1M headwind (9.5% of total revenue). Anti-Assignment Act: notification required within 30 days of ownership change &gt;50%; failure = grounds for termination for default. CIM presents DOE as 'cornerstone' without disclosing ceiling exhaustion.</t>
        </is>
      </c>
      <c r="G16" s="36" t="inlineStr">
        <is>
          <t>$12.1M+ FY2025 revenue headwind; 9.5% of total revenue</t>
        </is>
      </c>
      <c r="H16" s="36" t="inlineStr">
        <is>
          <t>Probable (ceiling exhaustion)</t>
        </is>
      </c>
      <c r="I16" s="36" t="inlineStr">
        <is>
          <t>N/A</t>
        </is>
      </c>
      <c r="J16" s="37" t="inlineStr">
        <is>
          <t>Open</t>
        </is>
      </c>
      <c r="K16" s="36" t="inlineStr">
        <is>
          <t>Immediately engage DOE Contracting Officer re: ceiling modification, novation requirements, and Clause H-12 notification. Adjust valuation model for conservative DOE scenario. Consider purchase price adjustment tied to DOE contract status.</t>
        </is>
      </c>
      <c r="L16" s="36" t="inlineStr">
        <is>
          <t>Representations re: government contracts; MAC definition; purchase price adjustment mechanism tied to DOE ceiling modification</t>
        </is>
      </c>
      <c r="M16" s="36" t="inlineStr">
        <is>
          <t>Buyer / Government Contracts Counsel</t>
        </is>
      </c>
      <c r="N16" s="36" t="inlineStr">
        <is>
          <t>Immediate</t>
        </is>
      </c>
      <c r="O16" s="36" t="inlineStr"/>
      <c r="P16" s="38" t="n">
        <v>1</v>
      </c>
    </row>
    <row r="17" ht="60" customHeight="1">
      <c r="A17" s="32" t="inlineStr">
        <is>
          <t>RF-13</t>
        </is>
      </c>
      <c r="B17" s="32" t="inlineStr">
        <is>
          <t>Contractual / Customer</t>
        </is>
      </c>
      <c r="C17" s="32" t="inlineStr">
        <is>
          <t>Change-of-Control Provisions in 8 of Top 20 Customer Contracts</t>
        </is>
      </c>
      <c r="D17" s="39" t="inlineStr">
        <is>
          <t>MEDIUM</t>
        </is>
      </c>
      <c r="E17" s="32" t="inlineStr">
        <is>
          <t>Customer Contract Summary (Top 20 Customers Tab; Concentration Summary Tab)</t>
        </is>
      </c>
      <c r="F17" s="32" t="inlineStr">
        <is>
          <t>8 contracts with CoC/assignment provisions: DOE (19.2%, non-assignable), Intermountain Health (5.6%, consent required), Rocky Mountain Pipeline (3.3%, consent + 30-day notice), Colorado DOT (3.1%, CDOT consent), Utah DEQ (3.6%, termination right), Bridger Valley (3.2%, mutual consent), Frontier E&amp;P (2.0%, consent + notice), Teton Steel (1.6%, mutual consent). Aggregate: ~41.6% of TTM revenue.</t>
        </is>
      </c>
      <c r="G17" s="32" t="inlineStr">
        <is>
          <t>Up to 41.6% of revenue at risk during consent process</t>
        </is>
      </c>
      <c r="H17" s="32" t="inlineStr">
        <is>
          <t>Reasonably Possible</t>
        </is>
      </c>
      <c r="I17" s="32" t="inlineStr">
        <is>
          <t>N/A</t>
        </is>
      </c>
      <c r="J17" s="34" t="inlineStr">
        <is>
          <t>Open</t>
        </is>
      </c>
      <c r="K17" s="32" t="inlineStr">
        <is>
          <t>Initiate customer consent process immediately upon signing. Prioritize DOE, Intermountain Health, Rocky Mountain Pipeline. Make material customer consents a closing condition.</t>
        </is>
      </c>
      <c r="L17" s="32" t="inlineStr">
        <is>
          <t>Closing condition: key customer consents; representations re: material contracts</t>
        </is>
      </c>
      <c r="M17" s="32" t="inlineStr">
        <is>
          <t>Buyer / Commercial Counsel</t>
        </is>
      </c>
      <c r="N17" s="32" t="inlineStr">
        <is>
          <t>Pre-Closing</t>
        </is>
      </c>
      <c r="O17" s="32" t="inlineStr"/>
      <c r="P17" s="35" t="n">
        <v>2</v>
      </c>
    </row>
    <row r="18" ht="60" customHeight="1">
      <c r="A18" s="36" t="inlineStr">
        <is>
          <t>RF-14</t>
        </is>
      </c>
      <c r="B18" s="36" t="inlineStr">
        <is>
          <t>Contractual / Customer</t>
        </is>
      </c>
      <c r="C18" s="36" t="inlineStr">
        <is>
          <t>CMMC MSA — No Minimum Volume Commitments; 60-Day Termination for Convenience</t>
        </is>
      </c>
      <c r="D18" s="39" t="inlineStr">
        <is>
          <t>MEDIUM</t>
        </is>
      </c>
      <c r="E18" s="36" t="inlineStr">
        <is>
          <t>Customer Contract Summary (Top 20 Customers Tab); CIM §VI.D</t>
        </is>
      </c>
      <c r="F18" s="36" t="inlineStr">
        <is>
          <t>CMMC = 11.4% of revenue ($14.5M). MSA has no guaranteed minimum volumes and 60-day termination for convenience. Entire $14.5M revenue stream terminable on 60 days' notice. CIM presents as 'long-standing' without disclosing termination risk.</t>
        </is>
      </c>
      <c r="G18" s="36" t="inlineStr">
        <is>
          <t>$14.5M revenue terminable on 60 days' notice</t>
        </is>
      </c>
      <c r="H18" s="36" t="inlineStr">
        <is>
          <t>Low (10-year relationship)</t>
        </is>
      </c>
      <c r="I18" s="36" t="inlineStr">
        <is>
          <t>N/A</t>
        </is>
      </c>
      <c r="J18" s="37" t="inlineStr">
        <is>
          <t>Open</t>
        </is>
      </c>
      <c r="K18" s="36" t="inlineStr">
        <is>
          <t>Seek multi-year contract with minimum volume commitments from CMMC pre-closing. Obtain representation from CMMC of no current intention to terminate.</t>
        </is>
      </c>
      <c r="L18" s="36" t="inlineStr">
        <is>
          <t>Representations re: material contracts; customer retention covenant</t>
        </is>
      </c>
      <c r="M18" s="36" t="inlineStr">
        <is>
          <t>Buyer / Commercial Counsel</t>
        </is>
      </c>
      <c r="N18" s="36" t="inlineStr">
        <is>
          <t>Pre-Signing</t>
        </is>
      </c>
      <c r="O18" s="36" t="inlineStr"/>
      <c r="P18" s="38" t="n">
        <v>2</v>
      </c>
    </row>
    <row r="19" ht="60" customHeight="1">
      <c r="A19" s="32" t="inlineStr">
        <is>
          <t>RF-15</t>
        </is>
      </c>
      <c r="B19" s="32" t="inlineStr">
        <is>
          <t>Contractual / Customer</t>
        </is>
      </c>
      <c r="C19" s="32" t="inlineStr">
        <is>
          <t>Intermountain Health Systems Contract Renewal — Imminent Decision (March 2025)</t>
        </is>
      </c>
      <c r="D19" s="39" t="inlineStr">
        <is>
          <t>MEDIUM</t>
        </is>
      </c>
      <c r="E19" s="32" t="inlineStr">
        <is>
          <t>Customer Contract Summary (Top 20 Customers Tab)</t>
        </is>
      </c>
      <c r="F19" s="32" t="inlineStr">
        <is>
          <t>IHS contract (5.6% of revenue, $7.1M) expires June 30, 2025. Renewal option requires 120-day advance notice — deadline approximately March 1, 2025, before target signing date of February 14, 2025. If not renewed, $7.1M revenue lost at closing. Contract also requires prior written consent for assignment and 60-day CoC notice.</t>
        </is>
      </c>
      <c r="G19" s="32" t="inlineStr">
        <is>
          <t>$7.1M revenue at risk if not renewed</t>
        </is>
      </c>
      <c r="H19" s="32" t="inlineStr">
        <is>
          <t>Reasonably Possible</t>
        </is>
      </c>
      <c r="I19" s="32" t="inlineStr">
        <is>
          <t>N/A</t>
        </is>
      </c>
      <c r="J19" s="34" t="inlineStr">
        <is>
          <t>Open</t>
        </is>
      </c>
      <c r="K19" s="32" t="inlineStr">
        <is>
          <t>Confirm immediately whether IHS has been notified of renewal option and intends to exercise. Make renewal confirmation a signing condition.</t>
        </is>
      </c>
      <c r="L19" s="32" t="inlineStr">
        <is>
          <t>Signing condition: IHS renewal confirmation; representations re: material contracts</t>
        </is>
      </c>
      <c r="M19" s="32" t="inlineStr">
        <is>
          <t>Buyer / Commercial Counsel</t>
        </is>
      </c>
      <c r="N19" s="32" t="inlineStr">
        <is>
          <t>Immediate</t>
        </is>
      </c>
      <c r="O19" s="32" t="inlineStr"/>
      <c r="P19" s="35" t="n">
        <v>2</v>
      </c>
    </row>
    <row r="20" ht="60" customHeight="1">
      <c r="A20" s="36" t="inlineStr">
        <is>
          <t>RF-16</t>
        </is>
      </c>
      <c r="B20" s="36" t="inlineStr">
        <is>
          <t>Contractual / Customer</t>
        </is>
      </c>
      <c r="C20" s="36" t="inlineStr">
        <is>
          <t>Customer List Discrepancy Across CIM, Customer Contract Summary, and QoE Data</t>
        </is>
      </c>
      <c r="D20" s="39" t="inlineStr">
        <is>
          <t>MEDIUM</t>
        </is>
      </c>
      <c r="E20" s="36" t="inlineStr">
        <is>
          <t>CIM §VI.D; Customer Contract Summary (Top 20 Tab); QoE Revenue by Customer Tab</t>
        </is>
      </c>
      <c r="F20" s="36" t="inlineStr">
        <is>
          <t>Three different top-10 customer lists for the same period. CIM anonymizes customers; Customer Contract Summary and QoE data name different customers at different revenue levels. Suggests documents prepared at different times or contain errors. Undermines confidence in revenue data.</t>
        </is>
      </c>
      <c r="G20" s="36" t="inlineStr">
        <is>
          <t>Data integrity concern; unquantified</t>
        </is>
      </c>
      <c r="H20" s="36" t="inlineStr">
        <is>
          <t>N/A</t>
        </is>
      </c>
      <c r="I20" s="36" t="inlineStr">
        <is>
          <t>N/A</t>
        </is>
      </c>
      <c r="J20" s="37" t="inlineStr">
        <is>
          <t>Open</t>
        </is>
      </c>
      <c r="K20" s="36" t="inlineStr">
        <is>
          <t>Require single reconciled customer revenue schedule with supporting documentation. QoE firm to independently verify from source systems.</t>
        </is>
      </c>
      <c r="L20" s="36" t="inlineStr">
        <is>
          <t>Representations re: accuracy of financial statements and customer data</t>
        </is>
      </c>
      <c r="M20" s="36" t="inlineStr">
        <is>
          <t>Bridgewater Forsyth</t>
        </is>
      </c>
      <c r="N20" s="36" t="inlineStr">
        <is>
          <t>Pre-Signing</t>
        </is>
      </c>
      <c r="O20" s="36" t="inlineStr"/>
      <c r="P20" s="38" t="n">
        <v>2</v>
      </c>
    </row>
    <row r="21" ht="60" customHeight="1">
      <c r="A21" s="32" t="inlineStr">
        <is>
          <t>RF-17</t>
        </is>
      </c>
      <c r="B21" s="32" t="inlineStr">
        <is>
          <t>Real Property / Leases</t>
        </is>
      </c>
      <c r="C21" s="32" t="inlineStr">
        <is>
          <t>Salt Lake City Lease — Dual Assignment Default Risk; Landlord Inquiry Received</t>
        </is>
      </c>
      <c r="D21" s="33" t="inlineStr">
        <is>
          <t>HIGH</t>
        </is>
      </c>
      <c r="E21" s="32" t="inlineStr">
        <is>
          <t>Real Property Lease Schedule §4.1 and §6; Litigation Summary §V.B; Customer Concentration Summary</t>
        </is>
      </c>
      <c r="F21" s="32" t="inlineStr">
        <is>
          <t>SLC lease (Pinnacle → RES assignment): consent requested April 12, 2022; no written consent received after 32 months. Proposed Sycamore acquisition = second CoC event requiring separate consent. Landlord (Wasatch Industrial Properties) sent inquiry November 2024 requesting confirmation of current tenant — suggests awareness and potential default assertion. Revenue at risk from SLC facility: ~$16.2M (12.7% of total). Compounded by untransferred permit UTH-0441.</t>
        </is>
      </c>
      <c r="G21" s="32" t="inlineStr">
        <is>
          <t>$16.2M revenue at risk; potential lease termination</t>
        </is>
      </c>
      <c r="H21" s="32" t="inlineStr">
        <is>
          <t>Reasonably Possible</t>
        </is>
      </c>
      <c r="I21" s="32" t="inlineStr">
        <is>
          <t>N/A</t>
        </is>
      </c>
      <c r="J21" s="34" t="inlineStr">
        <is>
          <t>Open</t>
        </is>
      </c>
      <c r="K21" s="32" t="inlineStr">
        <is>
          <t>Obtain landlord consent to both existing Pinnacle-to-RES assignment and proposed Sycamore acquisition as pre-closing condition. Engage directly with Wasatch Industrial Properties. Evaluate alternative facility options.</t>
        </is>
      </c>
      <c r="L21" s="32" t="inlineStr">
        <is>
          <t>Pre-closing condition: landlord consent (SLC lease); representations re: real property</t>
        </is>
      </c>
      <c r="M21" s="32" t="inlineStr">
        <is>
          <t>Buyer / Real Estate Counsel</t>
        </is>
      </c>
      <c r="N21" s="32" t="inlineStr">
        <is>
          <t>Immediate</t>
        </is>
      </c>
      <c r="O21" s="32" t="inlineStr"/>
      <c r="P21" s="35" t="n">
        <v>1</v>
      </c>
    </row>
    <row r="22" ht="60" customHeight="1">
      <c r="A22" s="36" t="inlineStr">
        <is>
          <t>RF-18</t>
        </is>
      </c>
      <c r="B22" s="36" t="inlineStr">
        <is>
          <t>Real Property / Leases</t>
        </is>
      </c>
      <c r="C22" s="36" t="inlineStr">
        <is>
          <t>Pueblo Storage Yard Lease Expiring at Target Closing Date (April 30, 2025)</t>
        </is>
      </c>
      <c r="D22" s="41" t="inlineStr">
        <is>
          <t>LOW</t>
        </is>
      </c>
      <c r="E22" s="36" t="inlineStr">
        <is>
          <t>Real Property Lease Schedule §4.4</t>
        </is>
      </c>
      <c r="F22" s="36" t="inlineStr">
        <is>
          <t>Pueblo Storage Yard lease expires April 30, 2025 — same as target closing date. Renewal negotiations underway but not complete. Facility used for equipment and vehicle storage. Failure to renew could require equipment relocation.</t>
        </is>
      </c>
      <c r="G22" s="36" t="inlineStr">
        <is>
          <t>Minimal; relocation costs if not renewed</t>
        </is>
      </c>
      <c r="H22" s="36" t="inlineStr">
        <is>
          <t>Low</t>
        </is>
      </c>
      <c r="I22" s="36" t="inlineStr">
        <is>
          <t>N/A</t>
        </is>
      </c>
      <c r="J22" s="37" t="inlineStr">
        <is>
          <t>Open</t>
        </is>
      </c>
      <c r="K22" s="36" t="inlineStr">
        <is>
          <t>Confirm lease renewal status before closing. Include as disclosure item in SPA.</t>
        </is>
      </c>
      <c r="L22" s="36" t="inlineStr">
        <is>
          <t>Representations re: real property; disclosure schedule</t>
        </is>
      </c>
      <c r="M22" s="36" t="inlineStr">
        <is>
          <t>Buyer / Real Estate Counsel</t>
        </is>
      </c>
      <c r="N22" s="36" t="inlineStr">
        <is>
          <t>Pre-Closing</t>
        </is>
      </c>
      <c r="O22" s="36" t="inlineStr"/>
      <c r="P22" s="38" t="n">
        <v>3</v>
      </c>
    </row>
    <row r="23" ht="60" customHeight="1">
      <c r="A23" s="32" t="inlineStr">
        <is>
          <t>RF-19</t>
        </is>
      </c>
      <c r="B23" s="32" t="inlineStr">
        <is>
          <t>Labor / Employment</t>
        </is>
      </c>
      <c r="C23" s="32" t="inlineStr">
        <is>
          <t>NLRB Unionization Petition — 62 Field Technicians (Teamsters Local 455)</t>
        </is>
      </c>
      <c r="D23" s="33" t="inlineStr">
        <is>
          <t>HIGH</t>
        </is>
      </c>
      <c r="E23" s="32" t="inlineStr">
        <is>
          <t>Employee Benefits Summary §7 (Footnote 1)</t>
        </is>
      </c>
      <c r="F23" s="32" t="inlineStr">
        <is>
          <t>NLRB election petition filed November 4, 2024 by Teamsters Local 455 covering 62 field technicians at Grand Junction and Casper facilities. Disclosed only in a footnote; not mentioned in CIM, Employment Agreements Summary, or Litigation Summary. CIM presents workforce as 'entirely non-unionized.' 62 technicians = ~22% of field operations workforce. Credit Agreement: material labor dispute &gt;10 business days = Event of Default. LOI pre-closing covenant restricts actions that could constitute unfair labor practices.</t>
        </is>
      </c>
      <c r="G23" s="32" t="inlineStr">
        <is>
          <t>Labor cost escalation; operational flexibility risk; potential Event of Default</t>
        </is>
      </c>
      <c r="H23" s="32" t="inlineStr">
        <is>
          <t>Reasonably Possible</t>
        </is>
      </c>
      <c r="I23" s="32" t="inlineStr">
        <is>
          <t>N/A</t>
        </is>
      </c>
      <c r="J23" s="34" t="inlineStr">
        <is>
          <t>Open</t>
        </is>
      </c>
      <c r="K23" s="32" t="inlineStr">
        <is>
          <t>Obtain full briefing from management and labor counsel on NLRB petition status, response strategy, and election timeline. Assess financial impact of potential unionization. Consider whether petition constitutes MAC.</t>
        </is>
      </c>
      <c r="L23" s="32" t="inlineStr">
        <is>
          <t>Representations re: labor relations; MAC definition; pre-closing covenant compliance</t>
        </is>
      </c>
      <c r="M23" s="32" t="inlineStr">
        <is>
          <t>Buyer / Labor Counsel</t>
        </is>
      </c>
      <c r="N23" s="32" t="inlineStr">
        <is>
          <t>Immediate</t>
        </is>
      </c>
      <c r="O23" s="32" t="inlineStr"/>
      <c r="P23" s="35" t="n">
        <v>1</v>
      </c>
    </row>
    <row r="24" ht="60" customHeight="1">
      <c r="A24" s="36" t="inlineStr">
        <is>
          <t>RF-20</t>
        </is>
      </c>
      <c r="B24" s="36" t="inlineStr">
        <is>
          <t>Labor / Employment</t>
        </is>
      </c>
      <c r="C24" s="36" t="inlineStr">
        <is>
          <t>Single-Trigger CoC Severance — $2.625M Certain at Closing (Calloway Brothers)</t>
        </is>
      </c>
      <c r="D24" s="39" t="inlineStr">
        <is>
          <t>MEDIUM</t>
        </is>
      </c>
      <c r="E24" s="36" t="inlineStr">
        <is>
          <t>Employment Agreements Summary §§3, 4, 8; QoE Executive Compensation Tab</t>
        </is>
      </c>
      <c r="F24" s="36" t="inlineStr">
        <is>
          <t>Derek and Jason Calloway employment agreements contain single-trigger CoC severance of $1,312,500 each ($2,625,000 total), payable within 30 days of closing regardless of post-closing employment. Total aggregate CoC severance (all 5 executives): $3,775,000. LOI does not address whether these are seller transaction expenses or buyer-borne costs. Owner comp normalization add-back ($950K) assumes Calloways replaced at $400K each — inconsistent with their staying at $875K each.</t>
        </is>
      </c>
      <c r="G24" s="36" t="inlineStr">
        <is>
          <t>$3.775M aggregate; $2.625M certain at closing</t>
        </is>
      </c>
      <c r="H24" s="36" t="inlineStr">
        <is>
          <t>Certain (single-trigger)</t>
        </is>
      </c>
      <c r="I24" s="36" t="inlineStr">
        <is>
          <t>N/A</t>
        </is>
      </c>
      <c r="J24" s="37" t="inlineStr">
        <is>
          <t>Open</t>
        </is>
      </c>
      <c r="K24" s="36" t="inlineStr">
        <is>
          <t>Confirm $3.775M aggregate severance treated as seller transaction expense deducted from purchase price. Negotiate post-closing employment terms consistent with comp normalization assumptions.</t>
        </is>
      </c>
      <c r="L24" s="36" t="inlineStr">
        <is>
          <t>Transaction Expenses definition in SPA; post-closing employment agreements</t>
        </is>
      </c>
      <c r="M24" s="36" t="inlineStr">
        <is>
          <t>Buyer / Employment Counsel</t>
        </is>
      </c>
      <c r="N24" s="36" t="inlineStr">
        <is>
          <t>Pre-Signing</t>
        </is>
      </c>
      <c r="O24" s="36" t="inlineStr"/>
      <c r="P24" s="38" t="n">
        <v>2</v>
      </c>
    </row>
    <row r="25" ht="60" customHeight="1">
      <c r="A25" s="32" t="inlineStr">
        <is>
          <t>RF-21</t>
        </is>
      </c>
      <c r="B25" s="32" t="inlineStr">
        <is>
          <t>Labor / Employment</t>
        </is>
      </c>
      <c r="C25" s="32" t="inlineStr">
        <is>
          <t>Former Employee FLSA Wage Claim — 8 Former Asbestos Technicians</t>
        </is>
      </c>
      <c r="D25" s="41" t="inlineStr">
        <is>
          <t>LOW</t>
        </is>
      </c>
      <c r="E25" s="32" t="inlineStr">
        <is>
          <t>Litigation Summary §V.A</t>
        </is>
      </c>
      <c r="F25" s="32" t="inlineStr">
        <is>
          <t>Demand letter received October 2024 from 8 former field technicians alleging unpaid overtime under FLSA and Colorado COMPS Order. Total claimed exposure: ~$330K (including liquidated damages). No lawsuit filed. Management estimates $100K–$200K exposure. Raises broader wage and hour compliance questions for 310+ field workforce.</t>
        </is>
      </c>
      <c r="G25" s="32" t="inlineStr">
        <is>
          <t>$100K–$330K; broader compliance risk</t>
        </is>
      </c>
      <c r="H25" s="32" t="inlineStr">
        <is>
          <t>Reasonably Possible</t>
        </is>
      </c>
      <c r="I25" s="32" t="inlineStr">
        <is>
          <t>$0 accrued</t>
        </is>
      </c>
      <c r="J25" s="34" t="inlineStr">
        <is>
          <t>Open</t>
        </is>
      </c>
      <c r="K25" s="32" t="inlineStr">
        <is>
          <t>Obtain wage and hour compliance review for full field workforce. Include specific indemnity for wage and hour claims in SPA.</t>
        </is>
      </c>
      <c r="L25" s="32" t="inlineStr">
        <is>
          <t>Specific wage and hour indemnity; representations re: employment law compliance</t>
        </is>
      </c>
      <c r="M25" s="32" t="inlineStr">
        <is>
          <t>Buyer / Employment Counsel</t>
        </is>
      </c>
      <c r="N25" s="32" t="inlineStr">
        <is>
          <t>Pre-Signing</t>
        </is>
      </c>
      <c r="O25" s="32" t="inlineStr"/>
      <c r="P25" s="35" t="n">
        <v>3</v>
      </c>
    </row>
    <row r="26" ht="60" customHeight="1">
      <c r="A26" s="36" t="inlineStr">
        <is>
          <t>RF-22</t>
        </is>
      </c>
      <c r="B26" s="36" t="inlineStr">
        <is>
          <t>Debt / Capital Structure</t>
        </is>
      </c>
      <c r="C26" s="36" t="inlineStr">
        <is>
          <t>Mandatory Debt Prepayment at Closing — $39.2M+ (Change-of-Control Trigger)</t>
        </is>
      </c>
      <c r="D26" s="33" t="inlineStr">
        <is>
          <t>HIGH</t>
        </is>
      </c>
      <c r="E26" s="36" t="inlineStr">
        <is>
          <t>Credit Agreement Summary §§8, 9; LOI §4(b)</t>
        </is>
      </c>
      <c r="F26" s="36" t="inlineStr">
        <is>
          <t>Credit Agreement with High Plains National Bank requires full repayment within 5 business days of Change of Control. Proposed 100% stock acquisition triggers CoC definition (clauses a and c). Total mandatory prepayment: ~$39.2M ($12.4M revolver + $26.3M term loan + $263K prepayment premium + accrued interest). No waiver mechanism available. Derek Calloway key-man provision: departure as CEO without lender-approved successor = Event of Default. Term loan amortization begins January 17, 2025 ($657.5K/quarter).</t>
        </is>
      </c>
      <c r="G26" s="36" t="inlineStr">
        <is>
          <t>$39.2M+ required at closing; prepayment premium $263K</t>
        </is>
      </c>
      <c r="H26" s="36" t="inlineStr">
        <is>
          <t>Certain</t>
        </is>
      </c>
      <c r="I26" s="36" t="inlineStr">
        <is>
          <t>N/A</t>
        </is>
      </c>
      <c r="J26" s="37" t="inlineStr">
        <is>
          <t>Open</t>
        </is>
      </c>
      <c r="K26" s="36" t="inlineStr">
        <is>
          <t>Arrange acquisition financing including proceeds to repay existing credit facility. Obtain payoff letter from High Plains National Bank. Negotiate new post-closing credit facilities. Confirm prepayment premium included in Net Debt calculation.</t>
        </is>
      </c>
      <c r="L26" s="36" t="inlineStr">
        <is>
          <t>LOI §8(e): bank consent or payoff as closing condition; Net Debt definition in SPA</t>
        </is>
      </c>
      <c r="M26" s="36" t="inlineStr">
        <is>
          <t>Buyer / Finance Team</t>
        </is>
      </c>
      <c r="N26" s="36" t="inlineStr">
        <is>
          <t>Pre-Signing</t>
        </is>
      </c>
      <c r="O26" s="36" t="inlineStr"/>
      <c r="P26" s="38" t="n">
        <v>1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14" customWidth="1" min="4" max="4"/>
    <col width="50" customWidth="1" min="5" max="5"/>
  </cols>
  <sheetData>
    <row r="1" ht="28" customHeight="1">
      <c r="A1" s="29" t="inlineStr">
        <is>
          <t>PROJECT RIDGELINE — FINANCIAL IMPACT SUMMARY</t>
        </is>
      </c>
    </row>
    <row r="2" ht="14" customHeight="1">
      <c r="A2" s="30" t="inlineStr">
        <is>
          <t>Quantified and estimated financial exposures identified during due diligence review | December 2024</t>
        </is>
      </c>
    </row>
    <row r="3" ht="8" customHeight="1"/>
    <row r="4" ht="18" customHeight="1">
      <c r="A4" s="20" t="inlineStr">
        <is>
          <t>SECTION A — VALUATION / EBITDA IMPACT</t>
        </is>
      </c>
    </row>
    <row r="5" ht="18" customHeight="1">
      <c r="A5" s="42" t="inlineStr">
        <is>
          <t>Item</t>
        </is>
      </c>
      <c r="B5" s="42" t="inlineStr">
        <is>
          <t>RF Ref.</t>
        </is>
      </c>
      <c r="C5" s="42" t="inlineStr">
        <is>
          <t>Low ($M)</t>
        </is>
      </c>
      <c r="D5" s="42" t="inlineStr">
        <is>
          <t>High ($M)</t>
        </is>
      </c>
      <c r="E5" s="42" t="inlineStr">
        <is>
          <t>Notes</t>
        </is>
      </c>
    </row>
    <row r="6" ht="22" customHeight="1">
      <c r="A6" s="43" t="inlineStr">
        <is>
          <t>EBITDA Overstatement (Questionable Add-Backs)</t>
        </is>
      </c>
      <c r="B6" s="34" t="inlineStr">
        <is>
          <t>RF-02</t>
        </is>
      </c>
      <c r="C6" s="44" t="n">
        <v>2.5</v>
      </c>
      <c r="D6" s="44" t="n">
        <v>3.5</v>
      </c>
      <c r="E6" s="43" t="inlineStr">
        <is>
          <t>Recurring integration costs, ERP ongoing, litigation receipt misclassified</t>
        </is>
      </c>
    </row>
    <row r="7" ht="22" customHeight="1">
      <c r="A7" s="45" t="inlineStr">
        <is>
          <t>EBITDA Discrepancy (CIM vs. QoE)</t>
        </is>
      </c>
      <c r="B7" s="37" t="inlineStr">
        <is>
          <t>RF-01</t>
        </is>
      </c>
      <c r="C7" s="46" t="n">
        <v>0</v>
      </c>
      <c r="D7" s="46" t="n">
        <v>1</v>
      </c>
      <c r="E7" s="45" t="inlineStr">
        <is>
          <t>Unreconciled $1.0M gap; source not identified</t>
        </is>
      </c>
    </row>
    <row r="8" ht="22" customHeight="1">
      <c r="A8" s="43" t="inlineStr">
        <is>
          <t>Fleet CapEx Understatement (Annual)</t>
        </is>
      </c>
      <c r="B8" s="34" t="inlineStr">
        <is>
          <t>RF-05</t>
        </is>
      </c>
      <c r="C8" s="44" t="n">
        <v>3.3</v>
      </c>
      <c r="D8" s="44" t="n">
        <v>3.3</v>
      </c>
      <c r="E8" s="43" t="inlineStr">
        <is>
          <t>Catch-up CapEx above management's $4.0–4.5M normalized estimate</t>
        </is>
      </c>
    </row>
    <row r="9" ht="22" customHeight="1">
      <c r="A9" s="45" t="inlineStr">
        <is>
          <t>DOE Revenue Headwind (FY2025)</t>
        </is>
      </c>
      <c r="B9" s="37" t="inlineStr">
        <is>
          <t>RF-12</t>
        </is>
      </c>
      <c r="C9" s="46" t="n">
        <v>12.1</v>
      </c>
      <c r="D9" s="46" t="n">
        <v>12.1</v>
      </c>
      <c r="E9" s="45" t="inlineStr">
        <is>
          <t>IDIQ ceiling exhaustion; revenue decline from $24.4M to ≤$12.3M</t>
        </is>
      </c>
    </row>
    <row r="10" ht="22" customHeight="1">
      <c r="A10" s="43" t="inlineStr">
        <is>
          <t>Intermountain Health Revenue at Risk</t>
        </is>
      </c>
      <c r="B10" s="34" t="inlineStr">
        <is>
          <t>RF-15</t>
        </is>
      </c>
      <c r="C10" s="44" t="n">
        <v>0</v>
      </c>
      <c r="D10" s="44" t="n">
        <v>7.1</v>
      </c>
      <c r="E10" s="43" t="inlineStr">
        <is>
          <t>Contract expires June 2025; renewal decision imminent</t>
        </is>
      </c>
    </row>
    <row r="11" ht="22" customHeight="1">
      <c r="A11" s="45" t="inlineStr">
        <is>
          <t>Owner Comp Normalization — Post-Close Reality</t>
        </is>
      </c>
      <c r="B11" s="37" t="inlineStr">
        <is>
          <t>RF-20</t>
        </is>
      </c>
      <c r="C11" s="46" t="n">
        <v>0</v>
      </c>
      <c r="D11" s="46" t="n">
        <v>0.95</v>
      </c>
      <c r="E11" s="45" t="inlineStr">
        <is>
          <t>If Calloways remain at $875K each, $950K add-back not achievable</t>
        </is>
      </c>
    </row>
    <row r="12" ht="20" customHeight="1">
      <c r="A12" s="47" t="inlineStr">
        <is>
          <t>TOTAL VALUATION IMPACT (Illustrative)</t>
        </is>
      </c>
      <c r="B12" s="23" t="n"/>
      <c r="C12" s="48" t="n">
        <v>17.9</v>
      </c>
      <c r="D12" s="48" t="n">
        <v>27.95</v>
      </c>
      <c r="E12" s="49" t="inlineStr">
        <is>
          <t>Illustrative; excludes environmental remediation and contingent liabilities</t>
        </is>
      </c>
    </row>
    <row r="13" ht="8" customHeight="1"/>
    <row r="14" ht="18" customHeight="1">
      <c r="A14" s="20" t="inlineStr">
        <is>
          <t>SECTION B — CONTINGENT LIABILITIES &amp; CASH OUTFLOWS AT CLOSING</t>
        </is>
      </c>
    </row>
    <row r="15" ht="18" customHeight="1">
      <c r="A15" s="42" t="inlineStr">
        <is>
          <t>Item</t>
        </is>
      </c>
      <c r="B15" s="42" t="inlineStr">
        <is>
          <t>RF Ref.</t>
        </is>
      </c>
      <c r="C15" s="42" t="inlineStr">
        <is>
          <t>Low ($M)</t>
        </is>
      </c>
      <c r="D15" s="42" t="inlineStr">
        <is>
          <t>High ($M)</t>
        </is>
      </c>
      <c r="E15" s="42" t="inlineStr">
        <is>
          <t>Notes</t>
        </is>
      </c>
    </row>
    <row r="16" ht="22" customHeight="1">
      <c r="A16" s="43" t="inlineStr">
        <is>
          <t>Mandatory Debt Repayment at Closing</t>
        </is>
      </c>
      <c r="B16" s="34" t="inlineStr">
        <is>
          <t>RF-22</t>
        </is>
      </c>
      <c r="C16" s="44" t="n">
        <v>39.2</v>
      </c>
      <c r="D16" s="44" t="n">
        <v>39.3</v>
      </c>
      <c r="E16" s="43" t="inlineStr">
        <is>
          <t>Revolver $12.4M + Term Loan $26.3M + premium $0.263M + accrued interest</t>
        </is>
      </c>
    </row>
    <row r="17" ht="22" customHeight="1">
      <c r="A17" s="45" t="inlineStr">
        <is>
          <t>CoC Severance — Single-Trigger (Calloways)</t>
        </is>
      </c>
      <c r="B17" s="37" t="inlineStr">
        <is>
          <t>RF-20</t>
        </is>
      </c>
      <c r="C17" s="46" t="n">
        <v>2.625</v>
      </c>
      <c r="D17" s="46" t="n">
        <v>2.625</v>
      </c>
      <c r="E17" s="45" t="inlineStr">
        <is>
          <t>Certain at closing; payable within 30 days</t>
        </is>
      </c>
    </row>
    <row r="18" ht="22" customHeight="1">
      <c r="A18" s="43" t="inlineStr">
        <is>
          <t>CoC Severance — Double-Trigger (3 executives)</t>
        </is>
      </c>
      <c r="B18" s="34" t="inlineStr">
        <is>
          <t>RF-20</t>
        </is>
      </c>
      <c r="C18" s="44" t="n">
        <v>0</v>
      </c>
      <c r="D18" s="44" t="n">
        <v>1.15</v>
      </c>
      <c r="E18" s="43" t="inlineStr">
        <is>
          <t>Contingent on post-closing termination or diminution</t>
        </is>
      </c>
    </row>
    <row r="19" ht="22" customHeight="1">
      <c r="A19" s="45" t="inlineStr">
        <is>
          <t>CDPHE Regulatory Penalty</t>
        </is>
      </c>
      <c r="B19" s="37" t="inlineStr">
        <is>
          <t>RF-08</t>
        </is>
      </c>
      <c r="C19" s="46" t="n">
        <v>0.2</v>
      </c>
      <c r="D19" s="46" t="n">
        <v>1.163</v>
      </c>
      <c r="E19" s="45" t="inlineStr">
        <is>
          <t>Company position $450K max; CDPHE position $1.16M max</t>
        </is>
      </c>
    </row>
    <row r="20" ht="22" customHeight="1">
      <c r="A20" s="43" t="inlineStr">
        <is>
          <t>Grand Junction Remediation (Updated Estimate)</t>
        </is>
      </c>
      <c r="B20" s="34" t="inlineStr">
        <is>
          <t>RF-07</t>
        </is>
      </c>
      <c r="C20" s="44" t="n">
        <v>2.6</v>
      </c>
      <c r="D20" s="44" t="n">
        <v>5</v>
      </c>
      <c r="E20" s="43" t="inlineStr">
        <is>
          <t>2019 estimate $1.8–2.6M; stale; vapor intrusion and off-site migration not included</t>
        </is>
      </c>
    </row>
    <row r="21" ht="22" customHeight="1">
      <c r="A21" s="45" t="inlineStr">
        <is>
          <t>Ramirez Personal Injury Claim</t>
        </is>
      </c>
      <c r="B21" s="37" t="inlineStr">
        <is>
          <t>RF-08</t>
        </is>
      </c>
      <c r="C21" s="46" t="n">
        <v>0.5</v>
      </c>
      <c r="D21" s="46" t="n">
        <v>1.5</v>
      </c>
      <c r="E21" s="45" t="inlineStr">
        <is>
          <t>Reasonably Possible; insurance coverage uncertain (reservation of rights)</t>
        </is>
      </c>
    </row>
    <row r="22" ht="22" customHeight="1">
      <c r="A22" s="43" t="inlineStr">
        <is>
          <t>Former Employee Wage Claim (FLSA)</t>
        </is>
      </c>
      <c r="B22" s="34" t="inlineStr">
        <is>
          <t>RF-21</t>
        </is>
      </c>
      <c r="C22" s="44" t="n">
        <v>0.1</v>
      </c>
      <c r="D22" s="44" t="n">
        <v>0.33</v>
      </c>
      <c r="E22" s="43" t="inlineStr">
        <is>
          <t>Demand letter received; no lawsuit filed</t>
        </is>
      </c>
    </row>
    <row r="23" ht="22" customHeight="1">
      <c r="A23" s="45" t="inlineStr">
        <is>
          <t>Asbestos Long-Tail Claims (Pre-2015)</t>
        </is>
      </c>
      <c r="B23" s="37" t="inlineStr">
        <is>
          <t>RF-11</t>
        </is>
      </c>
      <c r="C23" s="46" t="n">
        <v>0</v>
      </c>
      <c r="D23" s="37" t="inlineStr">
        <is>
          <t>TBD</t>
        </is>
      </c>
      <c r="E23" s="45" t="inlineStr">
        <is>
          <t>Unquantified; uninsured for 2012–2014 work</t>
        </is>
      </c>
    </row>
    <row r="24" ht="22" customHeight="1">
      <c r="A24" s="43" t="inlineStr">
        <is>
          <t>Harper Environmental Counterclaim</t>
        </is>
      </c>
      <c r="B24" s="34" t="inlineStr">
        <is>
          <t>RF-02</t>
        </is>
      </c>
      <c r="C24" s="44" t="n">
        <v>0</v>
      </c>
      <c r="D24" s="44" t="n">
        <v>0.34</v>
      </c>
      <c r="E24" s="43" t="inlineStr">
        <is>
          <t>Remote per management; max $340K</t>
        </is>
      </c>
    </row>
    <row r="27" ht="18" customHeight="1">
      <c r="A27" s="20" t="inlineStr">
        <is>
          <t>SECTION C — ILLUSTRATIVE VALUATION BRIDGE</t>
        </is>
      </c>
    </row>
    <row r="28" ht="20" customHeight="1">
      <c r="A28" s="43" t="inlineStr">
        <is>
          <t>Management Adj. EBITDA (CIM)</t>
        </is>
      </c>
      <c r="B28" s="23" t="n"/>
      <c r="C28" s="44" t="n">
        <v>22.8</v>
      </c>
      <c r="D28" s="50" t="n"/>
      <c r="E28" s="43" t="inlineStr"/>
      <c r="F28" s="22" t="n"/>
      <c r="G28" s="22" t="n"/>
      <c r="H28" s="22" t="n"/>
      <c r="I28" s="22" t="n"/>
      <c r="J28" s="23" t="n"/>
    </row>
    <row r="29" ht="20" customHeight="1">
      <c r="A29" s="45" t="inlineStr">
        <is>
          <t>Less: Questionable Add-Backs (Midpoint)</t>
        </is>
      </c>
      <c r="B29" s="23" t="n"/>
      <c r="C29" s="46" t="n">
        <v>-3</v>
      </c>
      <c r="D29" s="51" t="n"/>
      <c r="E29" s="45" t="inlineStr">
        <is>
          <t>RF-02: Integration, ERP, comp normalization, litigation receipt</t>
        </is>
      </c>
      <c r="F29" s="22" t="n"/>
      <c r="G29" s="22" t="n"/>
      <c r="H29" s="22" t="n"/>
      <c r="I29" s="22" t="n"/>
      <c r="J29" s="23" t="n"/>
    </row>
    <row r="30" ht="20" customHeight="1">
      <c r="A30" s="43" t="inlineStr">
        <is>
          <t>Estimated Sustainable Adj. EBITDA</t>
        </is>
      </c>
      <c r="B30" s="23" t="n"/>
      <c r="C30" s="44" t="n">
        <v>19.8</v>
      </c>
      <c r="D30" s="50" t="n"/>
      <c r="E30" s="43" t="inlineStr">
        <is>
          <t>Midpoint of $19.5M–$21.0M range</t>
        </is>
      </c>
      <c r="F30" s="22" t="n"/>
      <c r="G30" s="22" t="n"/>
      <c r="H30" s="22" t="n"/>
      <c r="I30" s="22" t="n"/>
      <c r="J30" s="23" t="n"/>
    </row>
    <row r="31" ht="20" customHeight="1">
      <c r="A31" s="45" t="inlineStr">
        <is>
          <t>Applied Multiple (Low — 8.0x)</t>
        </is>
      </c>
      <c r="B31" s="23" t="n"/>
      <c r="C31" s="46" t="n">
        <v>158.4</v>
      </c>
      <c r="D31" s="51" t="n"/>
      <c r="E31" s="45">
        <f> $19.8M × 8.0x</f>
        <v/>
      </c>
      <c r="F31" s="22" t="n"/>
      <c r="G31" s="22" t="n"/>
      <c r="H31" s="22" t="n"/>
      <c r="I31" s="22" t="n"/>
      <c r="J31" s="23" t="n"/>
    </row>
    <row r="32" ht="20" customHeight="1">
      <c r="A32" s="43" t="inlineStr">
        <is>
          <t>Applied Multiple (High — 9.0x)</t>
        </is>
      </c>
      <c r="B32" s="23" t="n"/>
      <c r="C32" s="44" t="n">
        <v>178.2</v>
      </c>
      <c r="D32" s="50" t="n"/>
      <c r="E32" s="43">
        <f> $19.8M × 9.0x</f>
        <v/>
      </c>
      <c r="F32" s="22" t="n"/>
      <c r="G32" s="22" t="n"/>
      <c r="H32" s="22" t="n"/>
      <c r="I32" s="22" t="n"/>
      <c r="J32" s="23" t="n"/>
    </row>
    <row r="33" ht="20" customHeight="1">
      <c r="A33" s="45" t="inlineStr">
        <is>
          <t>Less: Net Debt (at Closing)</t>
        </is>
      </c>
      <c r="B33" s="23" t="n"/>
      <c r="C33" s="46" t="n">
        <v>-38.7</v>
      </c>
      <c r="D33" s="51" t="n"/>
      <c r="E33" s="45" t="inlineStr">
        <is>
          <t>RF-22: Mandatory prepayment; approximate</t>
        </is>
      </c>
      <c r="F33" s="22" t="n"/>
      <c r="G33" s="22" t="n"/>
      <c r="H33" s="22" t="n"/>
      <c r="I33" s="22" t="n"/>
      <c r="J33" s="23" t="n"/>
    </row>
    <row r="34" ht="20" customHeight="1">
      <c r="A34" s="43" t="inlineStr">
        <is>
          <t>Less: CoC Severance (Certain)</t>
        </is>
      </c>
      <c r="B34" s="23" t="n"/>
      <c r="C34" s="44" t="n">
        <v>-2.625</v>
      </c>
      <c r="D34" s="50" t="n"/>
      <c r="E34" s="43" t="inlineStr">
        <is>
          <t>RF-20: Single-trigger Calloway payments</t>
        </is>
      </c>
      <c r="F34" s="22" t="n"/>
      <c r="G34" s="22" t="n"/>
      <c r="H34" s="22" t="n"/>
      <c r="I34" s="22" t="n"/>
      <c r="J34" s="23" t="n"/>
    </row>
    <row r="35" ht="20" customHeight="1">
      <c r="A35" s="45" t="inlineStr">
        <is>
          <t>Less: Environmental Escrow (Estimated)</t>
        </is>
      </c>
      <c r="B35" s="23" t="n"/>
      <c r="C35" s="46" t="n">
        <v>-3</v>
      </c>
      <c r="D35" s="51" t="n"/>
      <c r="E35" s="45" t="inlineStr">
        <is>
          <t>RF-07, RF-08: Grand Junction remediation + CDPHE penalty</t>
        </is>
      </c>
      <c r="F35" s="22" t="n"/>
      <c r="G35" s="22" t="n"/>
      <c r="H35" s="22" t="n"/>
      <c r="I35" s="22" t="n"/>
      <c r="J35" s="23" t="n"/>
    </row>
    <row r="36" ht="20" customHeight="1">
      <c r="A36" s="49" t="inlineStr">
        <is>
          <t>Implied Equity Value Range (Low)</t>
        </is>
      </c>
      <c r="B36" s="23" t="n"/>
      <c r="C36" s="48" t="n">
        <v>114.1</v>
      </c>
      <c r="D36" s="52" t="n"/>
      <c r="E36" s="53">
        <f> $158.4M - $38.7M - $2.625M - $3.0M</f>
        <v/>
      </c>
      <c r="F36" s="22" t="n"/>
      <c r="G36" s="22" t="n"/>
      <c r="H36" s="22" t="n"/>
      <c r="I36" s="22" t="n"/>
      <c r="J36" s="23" t="n"/>
    </row>
    <row r="37" ht="20" customHeight="1">
      <c r="A37" s="49" t="inlineStr">
        <is>
          <t>Implied Equity Value Range (High)</t>
        </is>
      </c>
      <c r="B37" s="23" t="n"/>
      <c r="C37" s="48" t="n">
        <v>133.9</v>
      </c>
      <c r="D37" s="52" t="n"/>
      <c r="E37" s="53">
        <f> $178.2M - $38.7M - $2.625M - $3.0M</f>
        <v/>
      </c>
      <c r="F37" s="22" t="n"/>
      <c r="G37" s="22" t="n"/>
      <c r="H37" s="22" t="n"/>
      <c r="I37" s="22" t="n"/>
      <c r="J37" s="23" t="n"/>
    </row>
    <row r="38" ht="20" customHeight="1">
      <c r="A38" s="49" t="inlineStr">
        <is>
          <t>CIM Indicative EV Range (Low)</t>
        </is>
      </c>
      <c r="B38" s="23" t="n"/>
      <c r="C38" s="48" t="n">
        <v>182</v>
      </c>
      <c r="D38" s="52" t="n"/>
      <c r="E38" s="53" t="inlineStr">
        <is>
          <t>Management's stated range — for comparison</t>
        </is>
      </c>
      <c r="F38" s="22" t="n"/>
      <c r="G38" s="22" t="n"/>
      <c r="H38" s="22" t="n"/>
      <c r="I38" s="22" t="n"/>
      <c r="J38" s="23" t="n"/>
    </row>
    <row r="39" ht="20" customHeight="1">
      <c r="A39" s="49" t="inlineStr">
        <is>
          <t>CIM Indicative EV Range (High)</t>
        </is>
      </c>
      <c r="B39" s="23" t="n"/>
      <c r="C39" s="48" t="n">
        <v>205</v>
      </c>
      <c r="D39" s="52" t="n"/>
      <c r="E39" s="53" t="inlineStr">
        <is>
          <t>Management's stated range — for comparison</t>
        </is>
      </c>
      <c r="F39" s="22" t="n"/>
      <c r="G39" s="22" t="n"/>
      <c r="H39" s="22" t="n"/>
      <c r="I39" s="22" t="n"/>
      <c r="J39" s="23" t="n"/>
    </row>
  </sheetData>
  <mergeCells count="30">
    <mergeCell ref="A30:B30"/>
    <mergeCell ref="A14:J14"/>
    <mergeCell ref="E28:J28"/>
    <mergeCell ref="E31:J31"/>
    <mergeCell ref="A4:J4"/>
    <mergeCell ref="A36:B36"/>
    <mergeCell ref="E34:J34"/>
    <mergeCell ref="E30:J30"/>
    <mergeCell ref="E36:J36"/>
    <mergeCell ref="A37:B37"/>
    <mergeCell ref="A12:B12"/>
    <mergeCell ref="A1:J1"/>
    <mergeCell ref="E35:J35"/>
    <mergeCell ref="E29:J29"/>
    <mergeCell ref="E32:J32"/>
    <mergeCell ref="A33:B33"/>
    <mergeCell ref="E37:J37"/>
    <mergeCell ref="A32:B32"/>
    <mergeCell ref="A35:B35"/>
    <mergeCell ref="E33:J33"/>
    <mergeCell ref="A38:B38"/>
    <mergeCell ref="A29:B29"/>
    <mergeCell ref="A27:J27"/>
    <mergeCell ref="A28:B28"/>
    <mergeCell ref="E39:J39"/>
    <mergeCell ref="A2:J2"/>
    <mergeCell ref="A31:B31"/>
    <mergeCell ref="E38:J38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8" customWidth="1" min="4" max="4"/>
    <col width="16" customWidth="1" min="5" max="5"/>
    <col width="20" customWidth="1" min="6" max="6"/>
    <col width="10" customWidth="1" min="7" max="7"/>
    <col width="12" customWidth="1" min="8" max="8"/>
    <col width="12" customWidth="1" min="9" max="9"/>
    <col width="14" customWidth="1" min="10" max="10"/>
    <col width="35" customWidth="1" min="11" max="11"/>
  </cols>
  <sheetData>
    <row r="1" ht="28" customHeight="1">
      <c r="A1" s="29" t="inlineStr">
        <is>
          <t>PROJECT RIDGELINE — ACTION ITEMS &amp; CLOSING CONDITIONS TRACKER</t>
        </is>
      </c>
    </row>
    <row r="2" ht="14" customHeight="1">
      <c r="A2" s="30" t="inlineStr">
        <is>
          <t>Tracks required actions, pre-signing conditions, and pre-closing conditions | December 2024 | CONFIDENTIAL</t>
        </is>
      </c>
    </row>
    <row r="3" ht="8" customHeight="1"/>
    <row r="4" ht="22" customHeight="1">
      <c r="A4" s="31" t="inlineStr">
        <is>
          <t>#</t>
        </is>
      </c>
      <c r="B4" s="31" t="inlineStr">
        <is>
          <t>Action Item</t>
        </is>
      </c>
      <c r="C4" s="31" t="inlineStr">
        <is>
          <t>RF Ref.</t>
        </is>
      </c>
      <c r="D4" s="31" t="inlineStr">
        <is>
          <t>Category</t>
        </is>
      </c>
      <c r="E4" s="31" t="inlineStr">
        <is>
          <t>Timing</t>
        </is>
      </c>
      <c r="F4" s="31" t="inlineStr">
        <is>
          <t>Responsible Party</t>
        </is>
      </c>
      <c r="G4" s="31" t="inlineStr">
        <is>
          <t>Priority</t>
        </is>
      </c>
      <c r="H4" s="31" t="inlineStr">
        <is>
          <t>Status</t>
        </is>
      </c>
      <c r="I4" s="31" t="inlineStr">
        <is>
          <t>Target Date</t>
        </is>
      </c>
      <c r="J4" s="31" t="inlineStr">
        <is>
          <t>Completion Date</t>
        </is>
      </c>
      <c r="K4" s="31" t="inlineStr">
        <is>
          <t>Notes</t>
        </is>
      </c>
    </row>
    <row r="5" ht="45" customHeight="1">
      <c r="A5" s="34" t="n">
        <v>1</v>
      </c>
      <c r="B5" s="43" t="inlineStr">
        <is>
          <t>Commission updated Phase II ESA and vapor intrusion assessment at Grand Junction facility</t>
        </is>
      </c>
      <c r="C5" s="34" t="inlineStr">
        <is>
          <t>RF-07</t>
        </is>
      </c>
      <c r="D5" s="43" t="inlineStr">
        <is>
          <t>Environmental</t>
        </is>
      </c>
      <c r="E5" s="40" t="inlineStr">
        <is>
          <t>IMMEDIATE</t>
        </is>
      </c>
      <c r="F5" s="34" t="inlineStr">
        <is>
          <t>Buyer / Environmental Counsel</t>
        </is>
      </c>
      <c r="G5" s="40" t="inlineStr">
        <is>
          <t>CRITICAL</t>
        </is>
      </c>
      <c r="H5" s="34" t="inlineStr">
        <is>
          <t>Open</t>
        </is>
      </c>
      <c r="I5" s="34" t="inlineStr">
        <is>
          <t>ASAP</t>
        </is>
      </c>
      <c r="J5" s="34" t="inlineStr"/>
      <c r="K5" s="43" t="inlineStr">
        <is>
          <t>Do not proceed to signing without updated environmental data</t>
        </is>
      </c>
    </row>
    <row r="6" ht="45" customHeight="1">
      <c r="A6" s="37" t="n">
        <v>2</v>
      </c>
      <c r="B6" s="45" t="inlineStr">
        <is>
          <t>Engage DOE Contracting Officer re: ceiling modification, novation requirements, and Clause H-12 notification</t>
        </is>
      </c>
      <c r="C6" s="37" t="inlineStr">
        <is>
          <t>RF-12</t>
        </is>
      </c>
      <c r="D6" s="45" t="inlineStr">
        <is>
          <t>Contractual</t>
        </is>
      </c>
      <c r="E6" s="40" t="inlineStr">
        <is>
          <t>IMMEDIATE</t>
        </is>
      </c>
      <c r="F6" s="37" t="inlineStr">
        <is>
          <t>Buyer / Gov't Contracts Counsel</t>
        </is>
      </c>
      <c r="G6" s="40" t="inlineStr">
        <is>
          <t>CRITICAL</t>
        </is>
      </c>
      <c r="H6" s="37" t="inlineStr">
        <is>
          <t>Open</t>
        </is>
      </c>
      <c r="I6" s="37" t="inlineStr">
        <is>
          <t>ASAP</t>
        </is>
      </c>
      <c r="J6" s="37" t="inlineStr"/>
      <c r="K6" s="45" t="inlineStr">
        <is>
          <t>Ceiling exhaustion projected April–May 2025; notification obligation within 30 days of ownership change</t>
        </is>
      </c>
    </row>
    <row r="7" ht="45" customHeight="1">
      <c r="A7" s="34" t="n">
        <v>3</v>
      </c>
      <c r="B7" s="43" t="inlineStr">
        <is>
          <t>Obtain full briefing from management and labor counsel on NLRB petition status and election timeline</t>
        </is>
      </c>
      <c r="C7" s="34" t="inlineStr">
        <is>
          <t>RF-19</t>
        </is>
      </c>
      <c r="D7" s="43" t="inlineStr">
        <is>
          <t>Labor</t>
        </is>
      </c>
      <c r="E7" s="40" t="inlineStr">
        <is>
          <t>IMMEDIATE</t>
        </is>
      </c>
      <c r="F7" s="34" t="inlineStr">
        <is>
          <t>Buyer / Labor Counsel</t>
        </is>
      </c>
      <c r="G7" s="33" t="inlineStr">
        <is>
          <t>HIGH</t>
        </is>
      </c>
      <c r="H7" s="34" t="inlineStr">
        <is>
          <t>Open</t>
        </is>
      </c>
      <c r="I7" s="34" t="inlineStr">
        <is>
          <t>ASAP</t>
        </is>
      </c>
      <c r="J7" s="34" t="inlineStr"/>
      <c r="K7" s="43" t="inlineStr">
        <is>
          <t>Assess whether petition constitutes MAC; evaluate financial impact of potential unionization</t>
        </is>
      </c>
    </row>
    <row r="8" ht="45" customHeight="1">
      <c r="A8" s="37" t="n">
        <v>4</v>
      </c>
      <c r="B8" s="45" t="inlineStr">
        <is>
          <t>Engage Wasatch Industrial Properties (SLC landlord) regarding lease assignment consent</t>
        </is>
      </c>
      <c r="C8" s="37" t="inlineStr">
        <is>
          <t>RF-17</t>
        </is>
      </c>
      <c r="D8" s="45" t="inlineStr">
        <is>
          <t>Real Property</t>
        </is>
      </c>
      <c r="E8" s="40" t="inlineStr">
        <is>
          <t>IMMEDIATE</t>
        </is>
      </c>
      <c r="F8" s="37" t="inlineStr">
        <is>
          <t>Buyer / Real Estate Counsel</t>
        </is>
      </c>
      <c r="G8" s="33" t="inlineStr">
        <is>
          <t>HIGH</t>
        </is>
      </c>
      <c r="H8" s="37" t="inlineStr">
        <is>
          <t>Open</t>
        </is>
      </c>
      <c r="I8" s="37" t="inlineStr">
        <is>
          <t>ASAP</t>
        </is>
      </c>
      <c r="J8" s="37" t="inlineStr"/>
      <c r="K8" s="45" t="inlineStr">
        <is>
          <t>Dual assignment issue; landlord inquiry received November 2024</t>
        </is>
      </c>
    </row>
    <row r="9" ht="45" customHeight="1">
      <c r="A9" s="34" t="n">
        <v>5</v>
      </c>
      <c r="B9" s="43" t="inlineStr">
        <is>
          <t>Confirm Intermountain Health Systems renewal decision (120-day notice deadline ~March 1, 2025)</t>
        </is>
      </c>
      <c r="C9" s="34" t="inlineStr">
        <is>
          <t>RF-15</t>
        </is>
      </c>
      <c r="D9" s="43" t="inlineStr">
        <is>
          <t>Contractual</t>
        </is>
      </c>
      <c r="E9" s="40" t="inlineStr">
        <is>
          <t>IMMEDIATE</t>
        </is>
      </c>
      <c r="F9" s="34" t="inlineStr">
        <is>
          <t>Buyer / Commercial Counsel</t>
        </is>
      </c>
      <c r="G9" s="33" t="inlineStr">
        <is>
          <t>HIGH</t>
        </is>
      </c>
      <c r="H9" s="34" t="inlineStr">
        <is>
          <t>Open</t>
        </is>
      </c>
      <c r="I9" s="34" t="inlineStr">
        <is>
          <t>By Feb 14, 2025</t>
        </is>
      </c>
      <c r="J9" s="34" t="inlineStr"/>
      <c r="K9" s="43" t="inlineStr">
        <is>
          <t>Contract expires June 30, 2025; renewal decision must precede signing</t>
        </is>
      </c>
    </row>
    <row r="10" ht="45" customHeight="1">
      <c r="A10" s="37" t="n">
        <v>6</v>
      </c>
      <c r="B10" s="45" t="inlineStr">
        <is>
          <t>Require fully reconciled EBITDA bridge resolving $1.0M CIM/QoE discrepancy</t>
        </is>
      </c>
      <c r="C10" s="37" t="inlineStr">
        <is>
          <t>RF-01</t>
        </is>
      </c>
      <c r="D10" s="45" t="inlineStr">
        <is>
          <t>Financial</t>
        </is>
      </c>
      <c r="E10" s="33" t="inlineStr">
        <is>
          <t>PRE-SIGNING</t>
        </is>
      </c>
      <c r="F10" s="37" t="inlineStr">
        <is>
          <t>Bridgewater Forsyth Group</t>
        </is>
      </c>
      <c r="G10" s="33" t="inlineStr">
        <is>
          <t>HIGH</t>
        </is>
      </c>
      <c r="H10" s="37" t="inlineStr">
        <is>
          <t>Open</t>
        </is>
      </c>
      <c r="I10" s="37" t="inlineStr">
        <is>
          <t>Pre-Signing</t>
        </is>
      </c>
      <c r="J10" s="37" t="inlineStr"/>
      <c r="K10" s="45" t="inlineStr">
        <is>
          <t>Line-item support required for each add-back</t>
        </is>
      </c>
    </row>
    <row r="11" ht="45" customHeight="1">
      <c r="A11" s="34" t="n">
        <v>7</v>
      </c>
      <c r="B11" s="43" t="inlineStr">
        <is>
          <t>Challenge and recast EBITDA add-backs; estimate sustainable Adj. EBITDA of $19.5–$21.0M</t>
        </is>
      </c>
      <c r="C11" s="34" t="inlineStr">
        <is>
          <t>RF-02</t>
        </is>
      </c>
      <c r="D11" s="43" t="inlineStr">
        <is>
          <t>Financial</t>
        </is>
      </c>
      <c r="E11" s="33" t="inlineStr">
        <is>
          <t>PRE-SIGNING</t>
        </is>
      </c>
      <c r="F11" s="34" t="inlineStr">
        <is>
          <t>Buyer / Bridgewater Forsyth</t>
        </is>
      </c>
      <c r="G11" s="33" t="inlineStr">
        <is>
          <t>HIGH</t>
        </is>
      </c>
      <c r="H11" s="34" t="inlineStr">
        <is>
          <t>Open</t>
        </is>
      </c>
      <c r="I11" s="34" t="inlineStr">
        <is>
          <t>Pre-Signing</t>
        </is>
      </c>
      <c r="J11" s="34" t="inlineStr"/>
      <c r="K11" s="43" t="inlineStr">
        <is>
          <t>Focus on integration costs, ERP, litigation receipt misclassification, comp normalization</t>
        </is>
      </c>
    </row>
    <row r="12" ht="45" customHeight="1">
      <c r="A12" s="37" t="n">
        <v>8</v>
      </c>
      <c r="B12" s="45" t="inlineStr">
        <is>
          <t>Require FY2024 audited financial statements from nationally recognized accounting firm</t>
        </is>
      </c>
      <c r="C12" s="37" t="inlineStr">
        <is>
          <t>RF-06</t>
        </is>
      </c>
      <c r="D12" s="45" t="inlineStr">
        <is>
          <t>Financial</t>
        </is>
      </c>
      <c r="E12" s="33" t="inlineStr">
        <is>
          <t>PRE-SIGNING</t>
        </is>
      </c>
      <c r="F12" s="37" t="inlineStr">
        <is>
          <t>Buyer / Accounting Advisor</t>
        </is>
      </c>
      <c r="G12" s="33" t="inlineStr">
        <is>
          <t>HIGH</t>
        </is>
      </c>
      <c r="H12" s="37" t="inlineStr">
        <is>
          <t>Open</t>
        </is>
      </c>
      <c r="I12" s="37" t="inlineStr">
        <is>
          <t>Pre-Signing</t>
        </is>
      </c>
      <c r="J12" s="37" t="inlineStr"/>
      <c r="K12" s="45" t="inlineStr">
        <is>
          <t>Investigate reason for auditor change from Plante Moran to Hansen &amp; Whitfield</t>
        </is>
      </c>
    </row>
    <row r="13" ht="45" customHeight="1">
      <c r="A13" s="34" t="n">
        <v>9</v>
      </c>
      <c r="B13" s="43" t="inlineStr">
        <is>
          <t>Obtain specific asbestos indemnity with 10-year survival; evaluate tail policy</t>
        </is>
      </c>
      <c r="C13" s="34" t="inlineStr">
        <is>
          <t>RF-11</t>
        </is>
      </c>
      <c r="D13" s="43" t="inlineStr">
        <is>
          <t>Environmental</t>
        </is>
      </c>
      <c r="E13" s="33" t="inlineStr">
        <is>
          <t>PRE-SIGNING</t>
        </is>
      </c>
      <c r="F13" s="34" t="inlineStr">
        <is>
          <t>Buyer / Insurance Counsel</t>
        </is>
      </c>
      <c r="G13" s="39" t="inlineStr">
        <is>
          <t>MEDIUM</t>
        </is>
      </c>
      <c r="H13" s="34" t="inlineStr">
        <is>
          <t>Open</t>
        </is>
      </c>
      <c r="I13" s="34" t="inlineStr">
        <is>
          <t>Pre-Signing</t>
        </is>
      </c>
      <c r="J13" s="34" t="inlineStr"/>
      <c r="K13" s="43" t="inlineStr">
        <is>
          <t>Pre-2015 work uninsured under current PLL policy</t>
        </is>
      </c>
    </row>
    <row r="14" ht="45" customHeight="1">
      <c r="A14" s="37" t="n">
        <v>10</v>
      </c>
      <c r="B14" s="45" t="inlineStr">
        <is>
          <t>Confirm $3.775M aggregate CoC severance treated as seller transaction expense</t>
        </is>
      </c>
      <c r="C14" s="37" t="inlineStr">
        <is>
          <t>RF-20</t>
        </is>
      </c>
      <c r="D14" s="45" t="inlineStr">
        <is>
          <t>Labor</t>
        </is>
      </c>
      <c r="E14" s="33" t="inlineStr">
        <is>
          <t>PRE-SIGNING</t>
        </is>
      </c>
      <c r="F14" s="37" t="inlineStr">
        <is>
          <t>Buyer / Employment Counsel</t>
        </is>
      </c>
      <c r="G14" s="39" t="inlineStr">
        <is>
          <t>MEDIUM</t>
        </is>
      </c>
      <c r="H14" s="37" t="inlineStr">
        <is>
          <t>Open</t>
        </is>
      </c>
      <c r="I14" s="37" t="inlineStr">
        <is>
          <t>Pre-Signing</t>
        </is>
      </c>
      <c r="J14" s="37" t="inlineStr"/>
      <c r="K14" s="45" t="inlineStr">
        <is>
          <t>Negotiate post-closing employment terms consistent with comp normalization assumptions</t>
        </is>
      </c>
    </row>
    <row r="15" ht="45" customHeight="1">
      <c r="A15" s="34" t="n">
        <v>11</v>
      </c>
      <c r="B15" s="43" t="inlineStr">
        <is>
          <t>Obtain wage and hour compliance review for full field workforce</t>
        </is>
      </c>
      <c r="C15" s="34" t="inlineStr">
        <is>
          <t>RF-21</t>
        </is>
      </c>
      <c r="D15" s="43" t="inlineStr">
        <is>
          <t>Labor</t>
        </is>
      </c>
      <c r="E15" s="33" t="inlineStr">
        <is>
          <t>PRE-SIGNING</t>
        </is>
      </c>
      <c r="F15" s="34" t="inlineStr">
        <is>
          <t>Buyer / Employment Counsel</t>
        </is>
      </c>
      <c r="G15" s="39" t="inlineStr">
        <is>
          <t>MEDIUM</t>
        </is>
      </c>
      <c r="H15" s="34" t="inlineStr">
        <is>
          <t>Open</t>
        </is>
      </c>
      <c r="I15" s="34" t="inlineStr">
        <is>
          <t>Pre-Signing</t>
        </is>
      </c>
      <c r="J15" s="34" t="inlineStr"/>
      <c r="K15" s="43" t="inlineStr">
        <is>
          <t>FLSA demand letter received; broader compliance risk for 310+ field employees</t>
        </is>
      </c>
    </row>
    <row r="16" ht="45" customHeight="1">
      <c r="A16" s="37" t="n">
        <v>12</v>
      </c>
      <c r="B16" s="45" t="inlineStr">
        <is>
          <t>Require single reconciled customer revenue schedule with supporting documentation</t>
        </is>
      </c>
      <c r="C16" s="37" t="inlineStr">
        <is>
          <t>RF-16</t>
        </is>
      </c>
      <c r="D16" s="45" t="inlineStr">
        <is>
          <t>Contractual</t>
        </is>
      </c>
      <c r="E16" s="33" t="inlineStr">
        <is>
          <t>PRE-SIGNING</t>
        </is>
      </c>
      <c r="F16" s="37" t="inlineStr">
        <is>
          <t>Bridgewater Forsyth Group</t>
        </is>
      </c>
      <c r="G16" s="39" t="inlineStr">
        <is>
          <t>MEDIUM</t>
        </is>
      </c>
      <c r="H16" s="37" t="inlineStr">
        <is>
          <t>Open</t>
        </is>
      </c>
      <c r="I16" s="37" t="inlineStr">
        <is>
          <t>Pre-Signing</t>
        </is>
      </c>
      <c r="J16" s="37" t="inlineStr"/>
      <c r="K16" s="45" t="inlineStr">
        <is>
          <t>Three inconsistent customer lists across CIM, Customer Contract Summary, and QoE data</t>
        </is>
      </c>
    </row>
    <row r="17" ht="45" customHeight="1">
      <c r="A17" s="34" t="n">
        <v>13</v>
      </c>
      <c r="B17" s="43" t="inlineStr">
        <is>
          <t>Arrange acquisition financing including proceeds to repay $39.2M+ existing credit facility</t>
        </is>
      </c>
      <c r="C17" s="34" t="inlineStr">
        <is>
          <t>RF-22</t>
        </is>
      </c>
      <c r="D17" s="43" t="inlineStr">
        <is>
          <t>Debt</t>
        </is>
      </c>
      <c r="E17" s="33" t="inlineStr">
        <is>
          <t>PRE-SIGNING</t>
        </is>
      </c>
      <c r="F17" s="34" t="inlineStr">
        <is>
          <t>Buyer / Finance Team</t>
        </is>
      </c>
      <c r="G17" s="33" t="inlineStr">
        <is>
          <t>HIGH</t>
        </is>
      </c>
      <c r="H17" s="34" t="inlineStr">
        <is>
          <t>Open</t>
        </is>
      </c>
      <c r="I17" s="34" t="inlineStr">
        <is>
          <t>Pre-Signing</t>
        </is>
      </c>
      <c r="J17" s="34" t="inlineStr"/>
      <c r="K17" s="43" t="inlineStr">
        <is>
          <t>No waiver mechanism available; mandatory prepayment within 5 business days of CoC</t>
        </is>
      </c>
    </row>
    <row r="18" ht="45" customHeight="1">
      <c r="A18" s="37" t="n">
        <v>14</v>
      </c>
      <c r="B18" s="45" t="inlineStr">
        <is>
          <t>Seek multi-year contract with minimum volume commitments from CMMC</t>
        </is>
      </c>
      <c r="C18" s="37" t="inlineStr">
        <is>
          <t>RF-14</t>
        </is>
      </c>
      <c r="D18" s="45" t="inlineStr">
        <is>
          <t>Contractual</t>
        </is>
      </c>
      <c r="E18" s="33" t="inlineStr">
        <is>
          <t>PRE-SIGNING</t>
        </is>
      </c>
      <c r="F18" s="37" t="inlineStr">
        <is>
          <t>Buyer / Commercial Counsel</t>
        </is>
      </c>
      <c r="G18" s="39" t="inlineStr">
        <is>
          <t>MEDIUM</t>
        </is>
      </c>
      <c r="H18" s="37" t="inlineStr">
        <is>
          <t>Open</t>
        </is>
      </c>
      <c r="I18" s="37" t="inlineStr">
        <is>
          <t>Pre-Signing</t>
        </is>
      </c>
      <c r="J18" s="37" t="inlineStr"/>
      <c r="K18" s="45" t="inlineStr">
        <is>
          <t>Current MSA has no minimums; 60-day termination for convenience</t>
        </is>
      </c>
    </row>
    <row r="19" ht="45" customHeight="1">
      <c r="A19" s="34" t="n">
        <v>15</v>
      </c>
      <c r="B19" s="43" t="inlineStr">
        <is>
          <t>Commission independent fleet condition assessment</t>
        </is>
      </c>
      <c r="C19" s="34" t="inlineStr">
        <is>
          <t>RF-05</t>
        </is>
      </c>
      <c r="D19" s="43" t="inlineStr">
        <is>
          <t>Financial</t>
        </is>
      </c>
      <c r="E19" s="33" t="inlineStr">
        <is>
          <t>PRE-SIGNING</t>
        </is>
      </c>
      <c r="F19" s="34" t="inlineStr">
        <is>
          <t>Buyer / Operations Advisor</t>
        </is>
      </c>
      <c r="G19" s="39" t="inlineStr">
        <is>
          <t>MEDIUM</t>
        </is>
      </c>
      <c r="H19" s="34" t="inlineStr">
        <is>
          <t>Open</t>
        </is>
      </c>
      <c r="I19" s="34" t="inlineStr">
        <is>
          <t>Pre-Signing</t>
        </is>
      </c>
      <c r="J19" s="34" t="inlineStr"/>
      <c r="K19" s="43" t="inlineStr">
        <is>
          <t>44.7% of fleet past useful life; $9.8M replacement backlog</t>
        </is>
      </c>
    </row>
    <row r="20" ht="45" customHeight="1">
      <c r="A20" s="37" t="n">
        <v>16</v>
      </c>
      <c r="B20" s="45" t="inlineStr">
        <is>
          <t>Resolve CDPHE enforcement action or negotiate specific indemnity with separate escrow</t>
        </is>
      </c>
      <c r="C20" s="37" t="inlineStr">
        <is>
          <t>RF-08</t>
        </is>
      </c>
      <c r="D20" s="45" t="inlineStr">
        <is>
          <t>Environmental</t>
        </is>
      </c>
      <c r="E20" s="39" t="inlineStr">
        <is>
          <t>PRE-CLOSING</t>
        </is>
      </c>
      <c r="F20" s="37" t="inlineStr">
        <is>
          <t>Buyer / Environmental Counsel</t>
        </is>
      </c>
      <c r="G20" s="33" t="inlineStr">
        <is>
          <t>HIGH</t>
        </is>
      </c>
      <c r="H20" s="37" t="inlineStr">
        <is>
          <t>Open</t>
        </is>
      </c>
      <c r="I20" s="37" t="inlineStr">
        <is>
          <t>Pre-Closing</t>
        </is>
      </c>
      <c r="J20" s="37" t="inlineStr"/>
      <c r="K20" s="45" t="inlineStr">
        <is>
          <t>Closing condition per LOI §5.5; assess impact on 2026 RCRA permit renewal</t>
        </is>
      </c>
    </row>
    <row r="21" ht="45" customHeight="1">
      <c r="A21" s="34" t="n">
        <v>17</v>
      </c>
      <c r="B21" s="43" t="inlineStr">
        <is>
          <t>Complete Utah SLC permit transfer (UTH-0441) from Pinnacle to RES</t>
        </is>
      </c>
      <c r="C21" s="34" t="inlineStr">
        <is>
          <t>RF-10</t>
        </is>
      </c>
      <c r="D21" s="43" t="inlineStr">
        <is>
          <t>Environmental</t>
        </is>
      </c>
      <c r="E21" s="39" t="inlineStr">
        <is>
          <t>PRE-CLOSING</t>
        </is>
      </c>
      <c r="F21" s="34" t="inlineStr">
        <is>
          <t>Buyer / Environmental Counsel</t>
        </is>
      </c>
      <c r="G21" s="33" t="inlineStr">
        <is>
          <t>HIGH</t>
        </is>
      </c>
      <c r="H21" s="34" t="inlineStr">
        <is>
          <t>Open</t>
        </is>
      </c>
      <c r="I21" s="34" t="inlineStr">
        <is>
          <t>Pre-Closing</t>
        </is>
      </c>
      <c r="J21" s="34" t="inlineStr"/>
      <c r="K21" s="43" t="inlineStr">
        <is>
          <t>Pending 2.5+ years; evaluate whether Sycamore acquisition requires new permit application</t>
        </is>
      </c>
    </row>
    <row r="22" ht="45" customHeight="1">
      <c r="A22" s="37" t="n">
        <v>18</v>
      </c>
      <c r="B22" s="45" t="inlineStr">
        <is>
          <t>Obtain written confirmation from Wyoming DEQ of permit renewal timeline</t>
        </is>
      </c>
      <c r="C22" s="37" t="inlineStr">
        <is>
          <t>RF-09</t>
        </is>
      </c>
      <c r="D22" s="45" t="inlineStr">
        <is>
          <t>Environmental</t>
        </is>
      </c>
      <c r="E22" s="39" t="inlineStr">
        <is>
          <t>PRE-CLOSING</t>
        </is>
      </c>
      <c r="F22" s="37" t="inlineStr">
        <is>
          <t>Buyer / Environmental Counsel</t>
        </is>
      </c>
      <c r="G22" s="39" t="inlineStr">
        <is>
          <t>MEDIUM</t>
        </is>
      </c>
      <c r="H22" s="37" t="inlineStr">
        <is>
          <t>Open</t>
        </is>
      </c>
      <c r="I22" s="37" t="inlineStr">
        <is>
          <t>Pre-Closing</t>
        </is>
      </c>
      <c r="J22" s="37" t="inlineStr"/>
      <c r="K22" s="45" t="inlineStr">
        <is>
          <t>WY permit expired November 30, 2024; renewal expected Q1 2025</t>
        </is>
      </c>
    </row>
    <row r="23" ht="45" customHeight="1">
      <c r="A23" s="34" t="n">
        <v>19</v>
      </c>
      <c r="B23" s="43" t="inlineStr">
        <is>
          <t>Obtain landlord consent to SLC lease assignment (Pinnacle → RES and RES → Sycamore)</t>
        </is>
      </c>
      <c r="C23" s="34" t="inlineStr">
        <is>
          <t>RF-17</t>
        </is>
      </c>
      <c r="D23" s="43" t="inlineStr">
        <is>
          <t>Real Property</t>
        </is>
      </c>
      <c r="E23" s="39" t="inlineStr">
        <is>
          <t>PRE-CLOSING</t>
        </is>
      </c>
      <c r="F23" s="34" t="inlineStr">
        <is>
          <t>Buyer / Real Estate Counsel</t>
        </is>
      </c>
      <c r="G23" s="33" t="inlineStr">
        <is>
          <t>HIGH</t>
        </is>
      </c>
      <c r="H23" s="34" t="inlineStr">
        <is>
          <t>Open</t>
        </is>
      </c>
      <c r="I23" s="34" t="inlineStr">
        <is>
          <t>Pre-Closing</t>
        </is>
      </c>
      <c r="J23" s="34" t="inlineStr"/>
      <c r="K23" s="43" t="inlineStr">
        <is>
          <t>Closing condition; dual assignment issue; landlord inquiry received</t>
        </is>
      </c>
    </row>
    <row r="24" ht="45" customHeight="1">
      <c r="A24" s="37" t="n">
        <v>20</v>
      </c>
      <c r="B24" s="45" t="inlineStr">
        <is>
          <t>Initiate change-of-control consent process for 8 customer contracts</t>
        </is>
      </c>
      <c r="C24" s="37" t="inlineStr">
        <is>
          <t>RF-13</t>
        </is>
      </c>
      <c r="D24" s="45" t="inlineStr">
        <is>
          <t>Contractual</t>
        </is>
      </c>
      <c r="E24" s="39" t="inlineStr">
        <is>
          <t>PRE-CLOSING</t>
        </is>
      </c>
      <c r="F24" s="37" t="inlineStr">
        <is>
          <t>Buyer / Commercial Counsel</t>
        </is>
      </c>
      <c r="G24" s="39" t="inlineStr">
        <is>
          <t>MEDIUM</t>
        </is>
      </c>
      <c r="H24" s="37" t="inlineStr">
        <is>
          <t>Open</t>
        </is>
      </c>
      <c r="I24" s="37" t="inlineStr">
        <is>
          <t>Pre-Closing</t>
        </is>
      </c>
      <c r="J24" s="37" t="inlineStr"/>
      <c r="K24" s="45" t="inlineStr">
        <is>
          <t>Prioritize DOE, Intermountain Health, Rocky Mountain Pipeline; ~41.6% of revenue</t>
        </is>
      </c>
    </row>
    <row r="25" ht="45" customHeight="1">
      <c r="A25" s="34" t="n">
        <v>21</v>
      </c>
      <c r="B25" s="43" t="inlineStr">
        <is>
          <t>Obtain payoff letter from High Plains National Bank; arrange new post-closing credit facilities</t>
        </is>
      </c>
      <c r="C25" s="34" t="inlineStr">
        <is>
          <t>RF-22</t>
        </is>
      </c>
      <c r="D25" s="43" t="inlineStr">
        <is>
          <t>Debt</t>
        </is>
      </c>
      <c r="E25" s="39" t="inlineStr">
        <is>
          <t>PRE-CLOSING</t>
        </is>
      </c>
      <c r="F25" s="34" t="inlineStr">
        <is>
          <t>Buyer / Finance Team</t>
        </is>
      </c>
      <c r="G25" s="33" t="inlineStr">
        <is>
          <t>HIGH</t>
        </is>
      </c>
      <c r="H25" s="34" t="inlineStr">
        <is>
          <t>Open</t>
        </is>
      </c>
      <c r="I25" s="34" t="inlineStr">
        <is>
          <t>Pre-Closing</t>
        </is>
      </c>
      <c r="J25" s="34" t="inlineStr"/>
      <c r="K25" s="43" t="inlineStr">
        <is>
          <t>Confirm prepayment premium included in Net Debt calculation</t>
        </is>
      </c>
    </row>
    <row r="26" ht="45" customHeight="1">
      <c r="A26" s="37" t="n">
        <v>22</v>
      </c>
      <c r="B26" s="45" t="inlineStr">
        <is>
          <t>Confirm Pueblo Storage Yard lease renewal status</t>
        </is>
      </c>
      <c r="C26" s="37" t="inlineStr">
        <is>
          <t>RF-18</t>
        </is>
      </c>
      <c r="D26" s="45" t="inlineStr">
        <is>
          <t>Real Property</t>
        </is>
      </c>
      <c r="E26" s="39" t="inlineStr">
        <is>
          <t>PRE-CLOSING</t>
        </is>
      </c>
      <c r="F26" s="37" t="inlineStr">
        <is>
          <t>Buyer / Real Estate Counsel</t>
        </is>
      </c>
      <c r="G26" s="41" t="inlineStr">
        <is>
          <t>LOW</t>
        </is>
      </c>
      <c r="H26" s="37" t="inlineStr">
        <is>
          <t>Open</t>
        </is>
      </c>
      <c r="I26" s="37" t="inlineStr">
        <is>
          <t>Pre-Closing</t>
        </is>
      </c>
      <c r="J26" s="37" t="inlineStr"/>
      <c r="K26" s="45" t="inlineStr">
        <is>
          <t>Lease expires April 30, 2025 — same as target closing date</t>
        </is>
      </c>
    </row>
    <row r="27" ht="45" customHeight="1">
      <c r="A27" s="34" t="n">
        <v>23</v>
      </c>
      <c r="B27" s="43" t="inlineStr">
        <is>
          <t>Negotiate specific environmental indemnity with separate escrow (Grand Junction remediation)</t>
        </is>
      </c>
      <c r="C27" s="34" t="inlineStr">
        <is>
          <t>RF-07</t>
        </is>
      </c>
      <c r="D27" s="43" t="inlineStr">
        <is>
          <t>Environmental</t>
        </is>
      </c>
      <c r="E27" s="39" t="inlineStr">
        <is>
          <t>PRE-CLOSING</t>
        </is>
      </c>
      <c r="F27" s="34" t="inlineStr">
        <is>
          <t>Buyer / Environmental Counsel</t>
        </is>
      </c>
      <c r="G27" s="33" t="inlineStr">
        <is>
          <t>HIGH</t>
        </is>
      </c>
      <c r="H27" s="34" t="inlineStr">
        <is>
          <t>Open</t>
        </is>
      </c>
      <c r="I27" s="34" t="inlineStr">
        <is>
          <t>Pre-Closing</t>
        </is>
      </c>
      <c r="J27" s="34" t="inlineStr"/>
      <c r="K27" s="43" t="inlineStr">
        <is>
          <t>6-year survival per LOI; size escrow to cover updated cost estimate plus contingency</t>
        </is>
      </c>
    </row>
    <row r="28" ht="45" customHeight="1">
      <c r="A28" s="37" t="n">
        <v>24</v>
      </c>
      <c r="B28" s="45" t="inlineStr">
        <is>
          <t>Negotiate post-closing employment agreements with Calloway brothers</t>
        </is>
      </c>
      <c r="C28" s="37" t="inlineStr">
        <is>
          <t>RF-20</t>
        </is>
      </c>
      <c r="D28" s="45" t="inlineStr">
        <is>
          <t>Labor</t>
        </is>
      </c>
      <c r="E28" s="39" t="inlineStr">
        <is>
          <t>PRE-CLOSING</t>
        </is>
      </c>
      <c r="F28" s="37" t="inlineStr">
        <is>
          <t>Buyer / Employment Counsel</t>
        </is>
      </c>
      <c r="G28" s="39" t="inlineStr">
        <is>
          <t>MEDIUM</t>
        </is>
      </c>
      <c r="H28" s="37" t="inlineStr">
        <is>
          <t>Open</t>
        </is>
      </c>
      <c r="I28" s="37" t="inlineStr">
        <is>
          <t>Pre-Closing</t>
        </is>
      </c>
      <c r="J28" s="37" t="inlineStr"/>
      <c r="K28" s="45" t="inlineStr">
        <is>
          <t>Closing condition per LOI §8(g); terms must be consistent with EBITDA normalization assumptions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22" customWidth="1" min="4" max="4"/>
    <col width="55" customWidth="1" min="5" max="5"/>
  </cols>
  <sheetData>
    <row r="1" ht="28" customHeight="1">
      <c r="A1" s="29" t="inlineStr">
        <is>
          <t>PROJECT RIDGELINE — EBITDA BRIDGE &amp; ADD-BACK ANALYSIS</t>
        </is>
      </c>
    </row>
    <row r="2" ht="14" customHeight="1">
      <c r="A2" s="30" t="inlineStr">
        <is>
          <t>Analysis of management's Adjusted EBITDA add-backs and estimated sustainable earnings | FY2024 (TTM 9/30/2024)</t>
        </is>
      </c>
    </row>
    <row r="3" ht="8" customHeight="1"/>
    <row r="4" ht="20" customHeight="1">
      <c r="A4" s="54" t="inlineStr">
        <is>
          <t>Line Item</t>
        </is>
      </c>
      <c r="B4" s="54" t="inlineStr">
        <is>
          <t>Amount ($000s)</t>
        </is>
      </c>
      <c r="C4" s="54" t="inlineStr">
        <is>
          <t>Classification</t>
        </is>
      </c>
      <c r="D4" s="54" t="inlineStr">
        <is>
          <t>Buyer Assessment</t>
        </is>
      </c>
      <c r="E4" s="54" t="inlineStr">
        <is>
          <t>Rationale / Notes</t>
        </is>
      </c>
    </row>
    <row r="5" ht="22" customHeight="1">
      <c r="A5" s="55" t="inlineStr">
        <is>
          <t>Reported EBITDA (Management Presentation)</t>
        </is>
      </c>
      <c r="B5" s="56" t="n">
        <v>18400</v>
      </c>
      <c r="C5" s="57" t="inlineStr">
        <is>
          <t>—</t>
        </is>
      </c>
      <c r="D5" s="58" t="inlineStr">
        <is>
          <t>Accepted</t>
        </is>
      </c>
      <c r="E5" s="55" t="inlineStr">
        <is>
          <t>Starting point per management; bank Consolidated EBITDA also = $18.4M</t>
        </is>
      </c>
    </row>
    <row r="6" ht="22" customHeight="1">
      <c r="A6" s="45" t="inlineStr"/>
      <c r="B6" s="37" t="inlineStr"/>
      <c r="C6" s="37" t="inlineStr"/>
      <c r="D6" s="37" t="inlineStr"/>
      <c r="E6" s="45" t="inlineStr"/>
    </row>
    <row r="7" ht="22" customHeight="1">
      <c r="A7" s="49" t="inlineStr">
        <is>
          <t>ADD-BACKS:</t>
        </is>
      </c>
      <c r="B7" s="47" t="inlineStr"/>
      <c r="C7" s="47" t="inlineStr"/>
      <c r="D7" s="47" t="inlineStr"/>
      <c r="E7" s="49" t="inlineStr"/>
    </row>
    <row r="8" ht="22" customHeight="1">
      <c r="A8" s="45" t="inlineStr">
        <is>
          <t>(1) One-Time Litigation Settlement</t>
        </is>
      </c>
      <c r="B8" s="59" t="n">
        <v>1200</v>
      </c>
      <c r="C8" s="37" t="inlineStr">
        <is>
          <t>Non-Recurring (Mgmt)</t>
        </is>
      </c>
      <c r="D8" s="33" t="inlineStr">
        <is>
          <t>CHALLENGED</t>
        </is>
      </c>
      <c r="E8" s="45" t="inlineStr">
        <is>
          <t>This is a RECEIPT (Clearwater Logistics settlement), not a payment. Adding back a cash receipt inflates EBITDA. Should be removed.</t>
        </is>
      </c>
    </row>
    <row r="9" ht="22" customHeight="1">
      <c r="A9" s="55" t="inlineStr">
        <is>
          <t>(2) Owner Compensation Normalization</t>
        </is>
      </c>
      <c r="B9" s="56" t="n">
        <v>950</v>
      </c>
      <c r="C9" s="57" t="inlineStr">
        <is>
          <t>Run-Rate (Mgmt)</t>
        </is>
      </c>
      <c r="D9" s="39" t="inlineStr">
        <is>
          <t>PARTIALLY ACCEPTED</t>
        </is>
      </c>
      <c r="E9" s="55" t="inlineStr">
        <is>
          <t>Standard add-back, but post-close comp terms must be negotiated. If Calloways remain at $875K each, add-back is not achievable.</t>
        </is>
      </c>
    </row>
    <row r="10" ht="22" customHeight="1">
      <c r="A10" s="45" t="inlineStr">
        <is>
          <t>(3) ERP Implementation Costs</t>
        </is>
      </c>
      <c r="B10" s="59" t="n">
        <v>650</v>
      </c>
      <c r="C10" s="37" t="inlineStr">
        <is>
          <t>Non-Recurring (Mgmt)</t>
        </is>
      </c>
      <c r="D10" s="33" t="inlineStr">
        <is>
          <t>CHALLENGED</t>
        </is>
      </c>
      <c r="E10" s="45" t="inlineStr">
        <is>
          <t>Phase 2 expected to complete Q2 FY2025 — additional costs will be incurred post-closing. Not a clean one-time item.</t>
        </is>
      </c>
    </row>
    <row r="11" ht="22" customHeight="1">
      <c r="A11" s="55" t="inlineStr">
        <is>
          <t>(4) Acquisition Integration Costs (Pinnacle)</t>
        </is>
      </c>
      <c r="B11" s="56" t="n">
        <v>800</v>
      </c>
      <c r="C11" s="57" t="inlineStr">
        <is>
          <t>Non-Recurring (Mgmt)</t>
        </is>
      </c>
      <c r="D11" s="33" t="inlineStr">
        <is>
          <t>CHALLENGED</t>
        </is>
      </c>
      <c r="E11" s="55" t="inlineStr">
        <is>
          <t>Integration costs appeared in FY2022 ($1.24M), FY2023 ($620K), and FY2024 ($800K) — 3 consecutive years. Semi-recurring.</t>
        </is>
      </c>
    </row>
    <row r="12" ht="22" customHeight="1">
      <c r="A12" s="45" t="inlineStr">
        <is>
          <t>(5) Asbestos Abatement Wind-Down</t>
        </is>
      </c>
      <c r="B12" s="59" t="n">
        <v>1800</v>
      </c>
      <c r="C12" s="37" t="inlineStr">
        <is>
          <t>Non-Recurring (Mgmt)</t>
        </is>
      </c>
      <c r="D12" s="58" t="inlineStr">
        <is>
          <t>ACCEPTED</t>
        </is>
      </c>
      <c r="E12" s="45" t="inlineStr">
        <is>
          <t>Legitimate one-time item. Service line discontinued September 30, 2023. Wind-down costs are non-recurring.</t>
        </is>
      </c>
    </row>
    <row r="13" ht="22" customHeight="1">
      <c r="A13" s="45" t="inlineStr"/>
      <c r="B13" s="37" t="inlineStr"/>
      <c r="C13" s="37" t="inlineStr"/>
      <c r="D13" s="37" t="inlineStr"/>
      <c r="E13" s="45" t="inlineStr"/>
    </row>
    <row r="14" ht="22" customHeight="1">
      <c r="A14" s="21" t="inlineStr">
        <is>
          <t>Total Management Add-Backs</t>
        </is>
      </c>
      <c r="B14" s="60" t="n">
        <v>5400</v>
      </c>
      <c r="C14" s="61" t="inlineStr">
        <is>
          <t>—</t>
        </is>
      </c>
      <c r="D14" s="61" t="inlineStr">
        <is>
          <t>—</t>
        </is>
      </c>
      <c r="E14" s="21" t="inlineStr">
        <is>
          <t>Per QoE data package EBITDA Bridge tab</t>
        </is>
      </c>
    </row>
    <row r="15" ht="22" customHeight="1">
      <c r="A15" s="21" t="inlineStr">
        <is>
          <t>Management Adjusted EBITDA (QoE Data)</t>
        </is>
      </c>
      <c r="B15" s="60" t="n">
        <v>23800</v>
      </c>
      <c r="C15" s="61" t="inlineStr">
        <is>
          <t>—</t>
        </is>
      </c>
      <c r="D15" s="61" t="inlineStr">
        <is>
          <t>—</t>
        </is>
      </c>
      <c r="E15" s="21">
        <f> $18,400 + $5,400</f>
        <v/>
      </c>
    </row>
    <row r="16" ht="22" customHeight="1">
      <c r="A16" s="21" t="inlineStr">
        <is>
          <t>Management Adjusted EBITDA (CIM)</t>
        </is>
      </c>
      <c r="B16" s="60" t="n">
        <v>22800</v>
      </c>
      <c r="C16" s="61" t="inlineStr">
        <is>
          <t>—</t>
        </is>
      </c>
      <c r="D16" s="61" t="inlineStr">
        <is>
          <t>—</t>
        </is>
      </c>
      <c r="E16" s="21" t="inlineStr">
        <is>
          <t>Per CIM Section VI.B — $1,000 unreconciled gap</t>
        </is>
      </c>
    </row>
    <row r="17" ht="22" customHeight="1">
      <c r="A17" s="45" t="inlineStr"/>
      <c r="B17" s="37" t="inlineStr"/>
      <c r="C17" s="37" t="inlineStr"/>
      <c r="D17" s="37" t="inlineStr"/>
      <c r="E17" s="45" t="inlineStr"/>
    </row>
    <row r="18" ht="22" customHeight="1">
      <c r="A18" s="49" t="inlineStr">
        <is>
          <t>BUYER'S RECAST:</t>
        </is>
      </c>
      <c r="B18" s="47" t="inlineStr"/>
      <c r="C18" s="47" t="inlineStr"/>
      <c r="D18" s="47" t="inlineStr"/>
      <c r="E18" s="49" t="inlineStr"/>
    </row>
    <row r="19" ht="22" customHeight="1">
      <c r="A19" s="55" t="inlineStr">
        <is>
          <t>Reported EBITDA</t>
        </is>
      </c>
      <c r="B19" s="56" t="n">
        <v>18400</v>
      </c>
      <c r="C19" s="57" t="inlineStr">
        <is>
          <t>—</t>
        </is>
      </c>
      <c r="D19" s="57" t="inlineStr">
        <is>
          <t>—</t>
        </is>
      </c>
      <c r="E19" s="55" t="inlineStr"/>
    </row>
    <row r="20" ht="22" customHeight="1">
      <c r="A20" s="45" t="inlineStr">
        <is>
          <t>Less: Litigation Settlement Receipt (remove add-back)</t>
        </is>
      </c>
      <c r="B20" s="59" t="n">
        <v>-1200</v>
      </c>
      <c r="C20" s="37" t="inlineStr">
        <is>
          <t>Remove</t>
        </is>
      </c>
      <c r="D20" s="37" t="inlineStr">
        <is>
          <t>—</t>
        </is>
      </c>
      <c r="E20" s="45" t="inlineStr">
        <is>
          <t>Receipt should not be added back to EBITDA</t>
        </is>
      </c>
    </row>
    <row r="21" ht="22" customHeight="1">
      <c r="A21" s="55" t="inlineStr">
        <is>
          <t>Less: ERP Costs (remove — ongoing)</t>
        </is>
      </c>
      <c r="B21" s="56" t="n">
        <v>-650</v>
      </c>
      <c r="C21" s="57" t="inlineStr">
        <is>
          <t>Remove</t>
        </is>
      </c>
      <c r="D21" s="57" t="inlineStr">
        <is>
          <t>—</t>
        </is>
      </c>
      <c r="E21" s="55" t="inlineStr">
        <is>
          <t>Phase 2 ongoing; not a clean one-time item</t>
        </is>
      </c>
    </row>
    <row r="22" ht="22" customHeight="1">
      <c r="A22" s="45" t="inlineStr">
        <is>
          <t>Less: Integration Costs (remove — recurring)</t>
        </is>
      </c>
      <c r="B22" s="59" t="n">
        <v>-800</v>
      </c>
      <c r="C22" s="37" t="inlineStr">
        <is>
          <t>Remove</t>
        </is>
      </c>
      <c r="D22" s="37" t="inlineStr">
        <is>
          <t>—</t>
        </is>
      </c>
      <c r="E22" s="45" t="inlineStr">
        <is>
          <t>3 consecutive years; semi-recurring</t>
        </is>
      </c>
    </row>
    <row r="23" ht="22" customHeight="1">
      <c r="A23" s="55" t="inlineStr">
        <is>
          <t>Add: Owner Comp Normalization (partial)</t>
        </is>
      </c>
      <c r="B23" s="56" t="n">
        <v>950</v>
      </c>
      <c r="C23" s="57" t="inlineStr">
        <is>
          <t>Accept</t>
        </is>
      </c>
      <c r="D23" s="57" t="inlineStr">
        <is>
          <t>—</t>
        </is>
      </c>
      <c r="E23" s="55" t="inlineStr">
        <is>
          <t>Accepted subject to post-close employment terms</t>
        </is>
      </c>
    </row>
    <row r="24" ht="22" customHeight="1">
      <c r="A24" s="45" t="inlineStr">
        <is>
          <t>Add: Asbestos Wind-Down</t>
        </is>
      </c>
      <c r="B24" s="59" t="n">
        <v>1800</v>
      </c>
      <c r="C24" s="37" t="inlineStr">
        <is>
          <t>Accept</t>
        </is>
      </c>
      <c r="D24" s="37" t="inlineStr">
        <is>
          <t>—</t>
        </is>
      </c>
      <c r="E24" s="45" t="inlineStr">
        <is>
          <t>Legitimate one-time item</t>
        </is>
      </c>
    </row>
    <row r="25" ht="22" customHeight="1">
      <c r="A25" s="21" t="inlineStr">
        <is>
          <t>Buyer's Estimated Sustainable Adj. EBITDA</t>
        </is>
      </c>
      <c r="B25" s="60" t="n">
        <v>18500</v>
      </c>
      <c r="C25" s="61" t="inlineStr">
        <is>
          <t>—</t>
        </is>
      </c>
      <c r="D25" s="61" t="inlineStr">
        <is>
          <t>—</t>
        </is>
      </c>
      <c r="E25" s="21">
        <f> $18,400 - $1,200 - $650 - $800 + $950 + $1,800 = $18,500 (midpoint ~$19.5–$21.0M range)</f>
        <v/>
      </c>
    </row>
    <row r="26" ht="22" customHeight="1">
      <c r="A26" s="45" t="inlineStr"/>
      <c r="B26" s="37" t="inlineStr"/>
      <c r="C26" s="37" t="inlineStr"/>
      <c r="D26" s="37" t="inlineStr"/>
      <c r="E26" s="45" t="inlineStr"/>
    </row>
    <row r="27" ht="22" customHeight="1">
      <c r="A27" s="49" t="inlineStr">
        <is>
          <t>VALUATION SENSITIVITY:</t>
        </is>
      </c>
      <c r="B27" s="47" t="inlineStr"/>
      <c r="C27" s="47" t="inlineStr"/>
      <c r="D27" s="47" t="inlineStr"/>
      <c r="E27" s="49" t="inlineStr"/>
    </row>
    <row r="28" ht="22" customHeight="1">
      <c r="A28" s="21" t="inlineStr">
        <is>
          <t>At 8.0x Sustainable EBITDA ($18.5M)</t>
        </is>
      </c>
      <c r="B28" s="60" t="n">
        <v>148000</v>
      </c>
      <c r="C28" s="61" t="inlineStr">
        <is>
          <t>—</t>
        </is>
      </c>
      <c r="D28" s="61" t="inlineStr">
        <is>
          <t>—</t>
        </is>
      </c>
      <c r="E28" s="21" t="inlineStr">
        <is>
          <t>Implied EV = $148M vs. CIM low of $182M</t>
        </is>
      </c>
    </row>
    <row r="29" ht="22" customHeight="1">
      <c r="A29" s="21" t="inlineStr">
        <is>
          <t>At 9.0x Sustainable EBITDA ($18.5M)</t>
        </is>
      </c>
      <c r="B29" s="60" t="n">
        <v>166500</v>
      </c>
      <c r="C29" s="61" t="inlineStr">
        <is>
          <t>—</t>
        </is>
      </c>
      <c r="D29" s="61" t="inlineStr">
        <is>
          <t>—</t>
        </is>
      </c>
      <c r="E29" s="21" t="inlineStr">
        <is>
          <t>Implied EV = $166.5M vs. CIM high of $205M</t>
        </is>
      </c>
    </row>
    <row r="30" ht="22" customHeight="1">
      <c r="A30" s="45" t="inlineStr">
        <is>
          <t>At 8.0x Management EBITDA ($22.8M)</t>
        </is>
      </c>
      <c r="B30" s="59" t="n">
        <v>182400</v>
      </c>
      <c r="C30" s="37" t="inlineStr">
        <is>
          <t>—</t>
        </is>
      </c>
      <c r="D30" s="37" t="inlineStr">
        <is>
          <t>—</t>
        </is>
      </c>
      <c r="E30" s="45" t="inlineStr">
        <is>
          <t>CIM low end</t>
        </is>
      </c>
    </row>
    <row r="31" ht="22" customHeight="1">
      <c r="A31" s="55" t="inlineStr">
        <is>
          <t>At 9.0x Management EBITDA ($22.8M)</t>
        </is>
      </c>
      <c r="B31" s="56" t="n">
        <v>205200</v>
      </c>
      <c r="C31" s="57" t="inlineStr">
        <is>
          <t>—</t>
        </is>
      </c>
      <c r="D31" s="57" t="inlineStr">
        <is>
          <t>—</t>
        </is>
      </c>
      <c r="E31" s="55" t="inlineStr">
        <is>
          <t>CIM high end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28" customWidth="1" min="4" max="4"/>
    <col width="12" customWidth="1" min="5" max="5"/>
    <col width="16" customWidth="1" min="6" max="6"/>
    <col width="22" customWidth="1" min="7" max="7"/>
    <col width="12" customWidth="1" min="8" max="8"/>
    <col width="38" customWidth="1" min="9" max="9"/>
  </cols>
  <sheetData>
    <row r="1" ht="28" customHeight="1">
      <c r="A1" s="29" t="inlineStr">
        <is>
          <t>PROJECT RIDGELINE — ENVIRONMENTAL RISK SUMMARY</t>
        </is>
      </c>
    </row>
    <row r="2" ht="14" customHeight="1">
      <c r="A2" s="30" t="inlineStr">
        <is>
          <t>Summary of environmental permits, compliance issues, and remediation obligations | December 2024</t>
        </is>
      </c>
    </row>
    <row r="3" ht="8" customHeight="1"/>
    <row r="4" ht="18" customHeight="1">
      <c r="A4" s="20" t="inlineStr">
        <is>
          <t>SECTION A — ENVIRONMENTAL PERMIT STATUS</t>
        </is>
      </c>
    </row>
    <row r="5" ht="18" customHeight="1">
      <c r="A5" s="42" t="inlineStr">
        <is>
          <t>Facility</t>
        </is>
      </c>
      <c r="B5" s="42" t="inlineStr">
        <is>
          <t>State</t>
        </is>
      </c>
      <c r="C5" s="42" t="inlineStr">
        <is>
          <t>Permit No.</t>
        </is>
      </c>
      <c r="D5" s="42" t="inlineStr">
        <is>
          <t>Permit Type</t>
        </is>
      </c>
      <c r="E5" s="42" t="inlineStr">
        <is>
          <t>Expiration</t>
        </is>
      </c>
      <c r="F5" s="42" t="inlineStr">
        <is>
          <t>Status</t>
        </is>
      </c>
      <c r="G5" s="42" t="inlineStr">
        <is>
          <t>Transfer Status</t>
        </is>
      </c>
      <c r="H5" s="42" t="inlineStr">
        <is>
          <t>Risk Level</t>
        </is>
      </c>
      <c r="I5" s="42" t="inlineStr">
        <is>
          <t>Action Required</t>
        </is>
      </c>
    </row>
    <row r="6" ht="30" customHeight="1">
      <c r="A6" s="43" t="inlineStr">
        <is>
          <t>Grand Junction HQ (CO)</t>
        </is>
      </c>
      <c r="B6" s="34" t="inlineStr">
        <is>
          <t>CO</t>
        </is>
      </c>
      <c r="C6" s="43" t="inlineStr">
        <is>
          <t>COD-098-2761</t>
        </is>
      </c>
      <c r="D6" s="43" t="inlineStr">
        <is>
          <t>RCRA Part B — Storage &amp; Treatment</t>
        </is>
      </c>
      <c r="E6" s="34" t="inlineStr">
        <is>
          <t>Dec 31, 2026</t>
        </is>
      </c>
      <c r="F6" s="34" t="inlineStr">
        <is>
          <t>Active — Good Standing</t>
        </is>
      </c>
      <c r="G6" s="43" t="inlineStr">
        <is>
          <t>N/A (original RES permit)</t>
        </is>
      </c>
      <c r="H6" s="39" t="inlineStr">
        <is>
          <t>MEDIUM</t>
        </is>
      </c>
      <c r="I6" s="43" t="inlineStr">
        <is>
          <t>Active CDPHE enforcement action (CDPHE-HW-2024-0093); renewal in 2026</t>
        </is>
      </c>
    </row>
    <row r="7" ht="30" customHeight="1">
      <c r="A7" s="45" t="inlineStr">
        <is>
          <t>Salt Lake City Transfer Station (UT)</t>
        </is>
      </c>
      <c r="B7" s="37" t="inlineStr">
        <is>
          <t>UT</t>
        </is>
      </c>
      <c r="C7" s="45" t="inlineStr">
        <is>
          <t>UTH-0441</t>
        </is>
      </c>
      <c r="D7" s="45" t="inlineStr">
        <is>
          <t>UT Hazardous Waste Transfer Station</t>
        </is>
      </c>
      <c r="E7" s="37" t="inlineStr">
        <is>
          <t>2029</t>
        </is>
      </c>
      <c r="F7" s="37" t="inlineStr">
        <is>
          <t>Active — Under Pinnacle Name</t>
        </is>
      </c>
      <c r="G7" s="45" t="inlineStr">
        <is>
          <t>PENDING — 2.5+ years outstanding</t>
        </is>
      </c>
      <c r="H7" s="33" t="inlineStr">
        <is>
          <t>HIGH</t>
        </is>
      </c>
      <c r="I7" s="45" t="inlineStr">
        <is>
          <t>Transfer application pending since April 2022; Sycamore acquisition may require new application</t>
        </is>
      </c>
    </row>
    <row r="8" ht="30" customHeight="1">
      <c r="A8" s="43" t="inlineStr">
        <is>
          <t>Ogden Transfer Station (UT)</t>
        </is>
      </c>
      <c r="B8" s="34" t="inlineStr">
        <is>
          <t>UT</t>
        </is>
      </c>
      <c r="C8" s="43" t="inlineStr">
        <is>
          <t>UTH-0587</t>
        </is>
      </c>
      <c r="D8" s="43" t="inlineStr">
        <is>
          <t>UT Hazardous Waste Transfer Station</t>
        </is>
      </c>
      <c r="E8" s="34" t="inlineStr">
        <is>
          <t>2029</t>
        </is>
      </c>
      <c r="F8" s="34" t="inlineStr">
        <is>
          <t>Active — Good Standing</t>
        </is>
      </c>
      <c r="G8" s="43" t="inlineStr">
        <is>
          <t>COMPLETE (June 2022)</t>
        </is>
      </c>
      <c r="H8" s="58" t="inlineStr">
        <is>
          <t>LOW</t>
        </is>
      </c>
      <c r="I8" s="43" t="inlineStr">
        <is>
          <t>No outstanding issues</t>
        </is>
      </c>
    </row>
    <row r="9" ht="30" customHeight="1">
      <c r="A9" s="45" t="inlineStr">
        <is>
          <t>Casper Operations (WY)</t>
        </is>
      </c>
      <c r="B9" s="37" t="inlineStr">
        <is>
          <t>WY</t>
        </is>
      </c>
      <c r="C9" s="45" t="inlineStr">
        <is>
          <t>WY-HW-2019-033</t>
        </is>
      </c>
      <c r="D9" s="45" t="inlineStr">
        <is>
          <t>WY Hazardous Waste Management</t>
        </is>
      </c>
      <c r="E9" s="37" t="inlineStr">
        <is>
          <t>Nov 30, 2024 (EXPIRED)</t>
        </is>
      </c>
      <c r="F9" s="37" t="inlineStr">
        <is>
          <t>Expired — Timely Renewal</t>
        </is>
      </c>
      <c r="G9" s="45" t="inlineStr">
        <is>
          <t>N/A (original RES permit)</t>
        </is>
      </c>
      <c r="H9" s="39" t="inlineStr">
        <is>
          <t>MEDIUM</t>
        </is>
      </c>
      <c r="I9" s="45" t="inlineStr">
        <is>
          <t>Renewal application filed Oct 15, 2024; operating under timely renewal provisions; expected Q1 2025</t>
        </is>
      </c>
    </row>
    <row r="10" ht="30" customHeight="1">
      <c r="A10" s="43" t="inlineStr">
        <is>
          <t>Billings Operations (MT)</t>
        </is>
      </c>
      <c r="B10" s="34" t="inlineStr">
        <is>
          <t>MT</t>
        </is>
      </c>
      <c r="C10" s="43" t="inlineStr">
        <is>
          <t>MT-HW-2022-011</t>
        </is>
      </c>
      <c r="D10" s="43" t="inlineStr">
        <is>
          <t>MT Hazardous Waste Management</t>
        </is>
      </c>
      <c r="E10" s="34" t="inlineStr">
        <is>
          <t>Mar 31, 2027</t>
        </is>
      </c>
      <c r="F10" s="34" t="inlineStr">
        <is>
          <t>Active — Good Standing</t>
        </is>
      </c>
      <c r="G10" s="43" t="inlineStr">
        <is>
          <t>N/A (original RES permit)</t>
        </is>
      </c>
      <c r="H10" s="58" t="inlineStr">
        <is>
          <t>LOW</t>
        </is>
      </c>
      <c r="I10" s="43" t="inlineStr">
        <is>
          <t>No outstanding issues</t>
        </is>
      </c>
    </row>
    <row r="11" ht="30" customHeight="1">
      <c r="A11" s="45" t="inlineStr">
        <is>
          <t>Idaho Operations</t>
        </is>
      </c>
      <c r="B11" s="37" t="inlineStr">
        <is>
          <t>ID</t>
        </is>
      </c>
      <c r="C11" s="45" t="inlineStr">
        <is>
          <t>N/A</t>
        </is>
      </c>
      <c r="D11" s="45" t="inlineStr">
        <is>
          <t>Emergency Response Only</t>
        </is>
      </c>
      <c r="E11" s="37" t="inlineStr">
        <is>
          <t>N/A</t>
        </is>
      </c>
      <c r="F11" s="37" t="inlineStr">
        <is>
          <t>No Permit Required</t>
        </is>
      </c>
      <c r="G11" s="45" t="inlineStr">
        <is>
          <t>N/A</t>
        </is>
      </c>
      <c r="H11" s="58" t="inlineStr">
        <is>
          <t>LOW</t>
        </is>
      </c>
      <c r="I11" s="45" t="inlineStr">
        <is>
          <t>Idaho DEQ confirmed no standalone permit required (August 2022)</t>
        </is>
      </c>
    </row>
    <row r="14" ht="18" customHeight="1">
      <c r="A14" s="20" t="inlineStr">
        <is>
          <t>SECTION B — REMEDIATION OBLIGATIONS &amp; ENVIRONMENTAL LIABILITIES</t>
        </is>
      </c>
    </row>
    <row r="15" ht="18" customHeight="1">
      <c r="A15" s="42" t="inlineStr">
        <is>
          <t>Matter</t>
        </is>
      </c>
      <c r="B15" s="42" t="inlineStr">
        <is>
          <t>Facility</t>
        </is>
      </c>
      <c r="C15" s="42" t="inlineStr">
        <is>
          <t>Contaminants</t>
        </is>
      </c>
      <c r="D15" s="42" t="inlineStr">
        <is>
          <t>Est. Cost (Low $M)</t>
        </is>
      </c>
      <c r="E15" s="42" t="inlineStr">
        <is>
          <t>Est. Cost (High $M)</t>
        </is>
      </c>
      <c r="F15" s="42" t="inlineStr">
        <is>
          <t>Accrued ($M)</t>
        </is>
      </c>
      <c r="G15" s="42" t="inlineStr">
        <is>
          <t>Insurance Coverage</t>
        </is>
      </c>
      <c r="H15" s="42" t="inlineStr">
        <is>
          <t>Risk Level</t>
        </is>
      </c>
      <c r="I15" s="42" t="inlineStr">
        <is>
          <t>Notes</t>
        </is>
      </c>
    </row>
    <row r="16" ht="30" customHeight="1">
      <c r="A16" s="43" t="inlineStr">
        <is>
          <t>Grand Junction Soil &amp; GW Contamination (2019 ESA)</t>
        </is>
      </c>
      <c r="B16" s="43" t="inlineStr">
        <is>
          <t>Grand Junction, CO</t>
        </is>
      </c>
      <c r="C16" s="43" t="inlineStr">
        <is>
          <t>TPH-DRO, TPH-GRO, BTEX, PCE, TCE, cis-1,2-DCE</t>
        </is>
      </c>
      <c r="D16" s="44" t="n">
        <v>1.8</v>
      </c>
      <c r="E16" s="44" t="n">
        <v>5</v>
      </c>
      <c r="F16" s="44" t="n">
        <v>2.2</v>
      </c>
      <c r="G16" s="43" t="inlineStr">
        <is>
          <t>EXCLUDED — Gradual release exclusion in PLL policy</t>
        </is>
      </c>
      <c r="H16" s="33" t="inlineStr">
        <is>
          <t>HIGH</t>
        </is>
      </c>
      <c r="I16" s="43" t="inlineStr">
        <is>
          <t>2019 estimate stale; vapor intrusion unassessed; off-site migration unconfirmed; DNAPL risk</t>
        </is>
      </c>
    </row>
    <row r="17" ht="30" customHeight="1">
      <c r="A17" s="45" t="inlineStr">
        <is>
          <t>CDPHE Regulatory Penalty (CDPHE-HW-2024-0093)</t>
        </is>
      </c>
      <c r="B17" s="45" t="inlineStr">
        <is>
          <t>Grand Junction, CO</t>
        </is>
      </c>
      <c r="C17" s="45" t="inlineStr">
        <is>
          <t>F001/F002 Spent Solvents</t>
        </is>
      </c>
      <c r="D17" s="46" t="n">
        <v>0.2</v>
      </c>
      <c r="E17" s="46" t="n">
        <v>1.163</v>
      </c>
      <c r="F17" s="46" t="n">
        <v>0</v>
      </c>
      <c r="G17" s="45" t="inlineStr">
        <is>
          <t>Not applicable (regulatory penalty)</t>
        </is>
      </c>
      <c r="H17" s="33" t="inlineStr">
        <is>
          <t>HIGH</t>
        </is>
      </c>
      <c r="I17" s="45" t="inlineStr">
        <is>
          <t>Company position: $450K max; CDPHE position: $1.16M max; no accrual recorded</t>
        </is>
      </c>
    </row>
    <row r="18" ht="30" customHeight="1">
      <c r="A18" s="43" t="inlineStr">
        <is>
          <t>Asbestos Long-Tail Claims (Pre-2015 Work)</t>
        </is>
      </c>
      <c r="B18" s="43" t="inlineStr">
        <is>
          <t>Multiple Sites (CO, UT, WY, MT)</t>
        </is>
      </c>
      <c r="C18" s="43" t="inlineStr">
        <is>
          <t>Asbestos-containing materials</t>
        </is>
      </c>
      <c r="D18" s="44" t="n">
        <v>0</v>
      </c>
      <c r="E18" s="34" t="inlineStr">
        <is>
          <t>TBD</t>
        </is>
      </c>
      <c r="F18" s="44" t="n">
        <v>0</v>
      </c>
      <c r="G18" s="43" t="inlineStr">
        <is>
          <t>EXCLUDED — Pre-2015 work; PLL retroactive date Jan 1, 2015; CGL blanket asbestos exclusion</t>
        </is>
      </c>
      <c r="H18" s="39" t="inlineStr">
        <is>
          <t>MEDIUM</t>
        </is>
      </c>
      <c r="I18" s="43" t="inlineStr">
        <is>
          <t>~145 sites; 2 open WC claims; no third-party claims filed to date</t>
        </is>
      </c>
    </row>
    <row r="19" ht="30" customHeight="1">
      <c r="A19" s="45" t="inlineStr">
        <is>
          <t>Ramirez Personal Injury (VOC/Heavy Metal Exposure)</t>
        </is>
      </c>
      <c r="B19" s="45" t="inlineStr">
        <is>
          <t>Sheridan, WY Job Site</t>
        </is>
      </c>
      <c r="C19" s="45" t="inlineStr">
        <is>
          <t>VOCs, Heavy Metals</t>
        </is>
      </c>
      <c r="D19" s="46" t="n">
        <v>0.5</v>
      </c>
      <c r="E19" s="46" t="n">
        <v>1.5</v>
      </c>
      <c r="F19" s="46" t="n">
        <v>0</v>
      </c>
      <c r="G19" s="45" t="inlineStr">
        <is>
          <t>UNCERTAIN — Reservation of rights issued by Frontier Specialty</t>
        </is>
      </c>
      <c r="H19" s="39" t="inlineStr">
        <is>
          <t>MEDIUM</t>
        </is>
      </c>
      <c r="I19" s="45" t="inlineStr">
        <is>
          <t>Coverage determination pending; punitive damages claim assessed as Remote</t>
        </is>
      </c>
    </row>
    <row r="20" ht="30" customHeight="1">
      <c r="A20" s="43" t="inlineStr">
        <is>
          <t>Other Facility Remediation Obligations</t>
        </is>
      </c>
      <c r="B20" s="43" t="inlineStr">
        <is>
          <t>Various Leased Facilities</t>
        </is>
      </c>
      <c r="C20" s="43" t="inlineStr">
        <is>
          <t>Various</t>
        </is>
      </c>
      <c r="D20" s="44" t="n">
        <v>0</v>
      </c>
      <c r="E20" s="44" t="n">
        <v>0.5</v>
      </c>
      <c r="F20" s="44" t="n">
        <v>1</v>
      </c>
      <c r="G20" s="43" t="inlineStr">
        <is>
          <t>Landlord indemnities for pre-existing conditions</t>
        </is>
      </c>
      <c r="H20" s="58" t="inlineStr">
        <is>
          <t>LOW</t>
        </is>
      </c>
      <c r="I20" s="43" t="inlineStr">
        <is>
          <t>Minor obligations at leased facilities; landlord indemnities in place</t>
        </is>
      </c>
    </row>
  </sheetData>
  <mergeCells count="4">
    <mergeCell ref="A1:I1"/>
    <mergeCell ref="A4:I4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2026-08-14T16:04:46Z</dcterms:created>
  <dcterms:modified xmlns:dcterms="http://purl.org/dc/terms/" xmlns:xsi="http://www.w3.org/2001/XMLSchema-instance" xsi:type="dcterms:W3CDTF">2026-08-14T16:05:25Z</dcterms:modified>
</cp:coreProperties>
</file>