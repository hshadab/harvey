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Exposure Summary" sheetId="2" state="visible" r:id="rId2"/>
    <sheet xmlns:r="http://schemas.openxmlformats.org/officeDocument/2006/relationships" name="Pre-Closing Checklist" sheetId="3" state="visible" r:id="rId3"/>
    <sheet xmlns:r="http://schemas.openxmlformats.org/officeDocument/2006/relationships" name="Legend" sheetId="4" state="visible" r:id="rId4"/>
  </sheets>
  <definedNames>
    <definedName name="_xlnm._FilterDatabase" localSheetId="0" hidden="1">'Red Flag Tracker'!$A$3:$N$3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0"/>
    </font>
    <font>
      <name val="Calibri"/>
      <b val="1"/>
      <color rgb="00FFFFFF"/>
      <sz val="10"/>
    </font>
    <font>
      <name val="Calibri"/>
      <b val="1"/>
      <color rgb="001F3864"/>
      <sz val="10"/>
    </font>
    <font>
      <name val="Calibri"/>
      <color rgb="00000000"/>
      <sz val="10"/>
    </font>
    <font>
      <name val="Calibri"/>
      <b val="1"/>
      <color rgb="00FFFFFF"/>
      <sz val="14"/>
    </font>
    <font>
      <name val="Calibri"/>
      <i val="1"/>
      <color rgb="00595959"/>
      <sz val="9"/>
    </font>
    <font>
      <name val="Calibri"/>
      <b val="1"/>
      <color rgb="00FFFFFF"/>
      <sz val="13"/>
    </font>
    <font>
      <name val="Calibri"/>
      <b val="1"/>
      <color rgb="001F3864"/>
      <sz val="11"/>
    </font>
  </fonts>
  <fills count="11">
    <fill>
      <patternFill/>
    </fill>
    <fill>
      <patternFill patternType="gray125"/>
    </fill>
    <fill>
      <patternFill patternType="solid">
        <fgColor rgb="001F3864"/>
      </patternFill>
    </fill>
    <fill>
      <patternFill patternType="solid">
        <fgColor rgb="00D6E4F0"/>
      </patternFill>
    </fill>
    <fill>
      <patternFill patternType="solid">
        <fgColor rgb="00FFFFFF"/>
      </patternFill>
    </fill>
    <fill>
      <patternFill patternType="solid">
        <fgColor rgb="00FF0000"/>
      </patternFill>
    </fill>
    <fill>
      <patternFill patternType="solid">
        <fgColor rgb="00F2F7FB"/>
      </patternFill>
    </fill>
    <fill>
      <patternFill patternType="solid">
        <fgColor rgb="00C00000"/>
      </patternFill>
    </fill>
    <fill>
      <patternFill patternType="solid">
        <fgColor rgb="00FF7C00"/>
      </patternFill>
    </fill>
    <fill>
      <patternFill patternType="solid">
        <fgColor rgb="00FFD700"/>
      </patternFill>
    </fill>
    <fill>
      <patternFill patternType="solid">
        <fgColor rgb="0070AD4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0" fillId="0" borderId="1" pivotButton="0" quotePrefix="0" xfId="0"/>
    <xf numFmtId="0" fontId="4" fillId="4" borderId="1" applyAlignment="1" pivotButton="0" quotePrefix="0" xfId="0">
      <alignment horizontal="center" vertical="center" wrapText="1"/>
    </xf>
    <xf numFmtId="0" fontId="5" fillId="4" borderId="1" applyAlignment="1" pivotButton="0" quotePrefix="0" xfId="0">
      <alignment horizontal="left" vertical="top" wrapText="1"/>
    </xf>
    <xf numFmtId="0" fontId="3" fillId="5" borderId="1" applyAlignment="1" pivotButton="0" quotePrefix="0" xfId="0">
      <alignment horizontal="center" vertical="center" wrapText="1"/>
    </xf>
    <xf numFmtId="3" fontId="5" fillId="4" borderId="1" applyAlignment="1" pivotButton="0" quotePrefix="0" xfId="0">
      <alignment horizontal="right" vertical="top"/>
    </xf>
    <xf numFmtId="0"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top" wrapText="1"/>
    </xf>
    <xf numFmtId="3" fontId="5" fillId="6" borderId="1" applyAlignment="1" pivotButton="0" quotePrefix="0" xfId="0">
      <alignment horizontal="right" vertical="top"/>
    </xf>
    <xf numFmtId="0" fontId="5"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6" fillId="2" borderId="0" applyAlignment="1" pivotButton="0" quotePrefix="0" xfId="0">
      <alignment horizontal="center" vertical="center" wrapText="1"/>
    </xf>
    <xf numFmtId="0" fontId="3" fillId="2" borderId="1" applyAlignment="1" pivotButton="0" quotePrefix="0" xfId="0">
      <alignment horizontal="right" vertical="center"/>
    </xf>
    <xf numFmtId="0" fontId="0" fillId="2" borderId="1" pivotButton="0" quotePrefix="0" xfId="0"/>
    <xf numFmtId="3" fontId="3" fillId="2" borderId="1" applyAlignment="1" pivotButton="0" quotePrefix="0" xfId="0">
      <alignment horizontal="right" vertical="center"/>
    </xf>
    <xf numFmtId="0" fontId="7" fillId="0" borderId="0" applyAlignment="1" pivotButton="0" quotePrefix="0" xfId="0">
      <alignment horizontal="left" vertical="top" wrapText="1"/>
    </xf>
    <xf numFmtId="0" fontId="8" fillId="2" borderId="0" applyAlignment="1" pivotButton="0" quotePrefix="0" xfId="0">
      <alignment horizontal="center" vertical="center" wrapText="1"/>
    </xf>
    <xf numFmtId="0" fontId="9" fillId="3" borderId="1" applyAlignment="1" pivotButton="0" quotePrefix="0" xfId="0">
      <alignment horizontal="left" vertical="center"/>
    </xf>
    <xf numFmtId="0" fontId="5" fillId="7" borderId="1" applyAlignment="1" pivotButton="0" quotePrefix="0" xfId="0">
      <alignment horizontal="left" vertical="top" wrapText="1"/>
    </xf>
    <xf numFmtId="0" fontId="5" fillId="5"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10" borderId="1" applyAlignment="1" pivotButton="0" quotePrefix="0" xfId="0">
      <alignment horizontal="center" vertical="center" wrapText="1"/>
    </xf>
    <xf numFmtId="0" fontId="5"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3"/>
  <sheetViews>
    <sheetView showGridLines="0" workbookViewId="0">
      <pane ySplit="3" topLeftCell="A4" activePane="bottomLeft" state="frozen"/>
      <selection pane="bottomLeft" activeCell="A1" sqref="A1"/>
    </sheetView>
  </sheetViews>
  <sheetFormatPr baseColWidth="8" defaultRowHeight="15"/>
  <cols>
    <col width="8" customWidth="1" min="1" max="1"/>
    <col width="18" customWidth="1" min="2" max="2"/>
    <col width="28" customWidth="1" min="3" max="3"/>
    <col width="55" customWidth="1" min="4" max="4"/>
    <col width="13" customWidth="1" min="5" max="5"/>
    <col width="18" customWidth="1" min="6" max="6"/>
    <col width="18" customWidth="1" min="7" max="7"/>
    <col width="30" customWidth="1" min="8" max="8"/>
    <col width="30" customWidth="1" min="9" max="9"/>
    <col width="12" customWidth="1" min="10" max="10"/>
    <col width="40" customWidth="1" min="11" max="11"/>
    <col width="35" customWidth="1" min="12" max="12"/>
    <col width="18" customWidth="1" min="13" max="13"/>
    <col width="20" customWidth="1" min="14" max="14"/>
  </cols>
  <sheetData>
    <row r="1" ht="30" customHeight="1">
      <c r="A1" s="1" t="inlineStr">
        <is>
          <t>PROJECT RIDGELINE — DILIGENCE RED FLAG TRACKER</t>
        </is>
      </c>
    </row>
    <row r="2" ht="18" customHeight="1">
      <c r="A2" s="2" t="inlineStr">
        <is>
          <t>Ridgeline Environmental Services, Inc.  |  Sycamore Capital Partners, LP  |  December 2024  |  CONFIDENTIAL — ATTORNEY-CLIENT PRIVILEGE</t>
        </is>
      </c>
    </row>
    <row r="3" ht="36" customHeight="1">
      <c r="A3" s="3" t="inlineStr">
        <is>
          <t>ID</t>
        </is>
      </c>
      <c r="B3" s="3" t="inlineStr">
        <is>
          <t>Category</t>
        </is>
      </c>
      <c r="C3" s="3" t="inlineStr">
        <is>
          <t>Red Flag Title</t>
        </is>
      </c>
      <c r="D3" s="3" t="inlineStr">
        <is>
          <t>Description / Key Facts</t>
        </is>
      </c>
      <c r="E3" s="3" t="inlineStr">
        <is>
          <t>Severity</t>
        </is>
      </c>
      <c r="F3" s="3" t="inlineStr">
        <is>
          <t>Est. Exposure (Low)</t>
        </is>
      </c>
      <c r="G3" s="3" t="inlineStr">
        <is>
          <t>Est. Exposure (High)</t>
        </is>
      </c>
      <c r="H3" s="3" t="inlineStr">
        <is>
          <t>Exposure Notes</t>
        </is>
      </c>
      <c r="I3" s="3" t="inlineStr">
        <is>
          <t>Source Document(s)</t>
        </is>
      </c>
      <c r="J3" s="3" t="inlineStr">
        <is>
          <t>Status</t>
        </is>
      </c>
      <c r="K3" s="3" t="inlineStr">
        <is>
          <t>Recommended Action</t>
        </is>
      </c>
      <c r="L3" s="3" t="inlineStr">
        <is>
          <t>SPA Protection Required</t>
        </is>
      </c>
      <c r="M3" s="3" t="inlineStr">
        <is>
          <t>Pre-Closing Condition?</t>
        </is>
      </c>
      <c r="N3" s="3" t="inlineStr">
        <is>
          <t>Owner / Workstream</t>
        </is>
      </c>
    </row>
    <row r="4" ht="18" customHeight="1">
      <c r="A4" s="4" t="inlineStr">
        <is>
          <t xml:space="preserve">  FINANCIAL / QUALITY OF EARNINGS</t>
        </is>
      </c>
      <c r="B4" s="5" t="n"/>
      <c r="C4" s="5" t="n"/>
      <c r="D4" s="5" t="n"/>
      <c r="E4" s="5" t="n"/>
      <c r="F4" s="5" t="n"/>
      <c r="G4" s="5" t="n"/>
      <c r="H4" s="5" t="n"/>
      <c r="I4" s="5" t="n"/>
      <c r="J4" s="5" t="n"/>
      <c r="K4" s="5" t="n"/>
      <c r="L4" s="5" t="n"/>
      <c r="M4" s="5" t="n"/>
      <c r="N4" s="5" t="n"/>
    </row>
    <row r="5" ht="80" customHeight="1">
      <c r="A5" s="6" t="inlineStr">
        <is>
          <t>RF-01</t>
        </is>
      </c>
      <c r="B5" s="7" t="inlineStr">
        <is>
          <t>Financial / QoE</t>
        </is>
      </c>
      <c r="C5" s="7" t="inlineStr">
        <is>
          <t>EBITDA Bridge Discrepancy — $1.0M Unexplained Gap</t>
        </is>
      </c>
      <c r="D5" s="7" t="inlineStr">
        <is>
          <t>CIM states Adjusted EBITDA of $22.8M; QoE data package EBITDA Bridge tab calculates $23.8M. Management acknowledges the $1.0M gap but has not identified the causative adjustment. The entire $182–$205M valuation is anchored to this unreconciled metric.</t>
        </is>
      </c>
      <c r="E5" s="8" t="inlineStr">
        <is>
          <t>HIGH</t>
        </is>
      </c>
      <c r="F5" s="9" t="n">
        <v>8000</v>
      </c>
      <c r="G5" s="9" t="n">
        <v>9000</v>
      </c>
      <c r="H5" s="7" t="inlineStr">
        <is>
          <t>Valuation impact at 8–9x multiple; direction (up or down) unresolved</t>
        </is>
      </c>
      <c r="I5" s="7" t="inlineStr">
        <is>
          <t>QoE Data Package — EBITDA Bridge Tab; CIM §VI.B</t>
        </is>
      </c>
      <c r="J5" s="8" t="inlineStr">
        <is>
          <t>Open</t>
        </is>
      </c>
      <c r="K5" s="7" t="inlineStr">
        <is>
          <t>Demand fully reconciled EBITDA bridge with line-item support before signing. Confirm which figure governs LOI purchase price mechanism.</t>
        </is>
      </c>
      <c r="L5" s="7" t="inlineStr">
        <is>
          <t>Representation re: accuracy of financial statements; specific indemnity if bridge reconciles downward</t>
        </is>
      </c>
      <c r="M5" s="10" t="inlineStr">
        <is>
          <t>Yes — pre-signing</t>
        </is>
      </c>
      <c r="N5" s="7" t="inlineStr">
        <is>
          <t>Financial / QoE</t>
        </is>
      </c>
    </row>
    <row r="6" ht="80" customHeight="1">
      <c r="A6" s="11" t="inlineStr">
        <is>
          <t>RF-02</t>
        </is>
      </c>
      <c r="B6" s="12" t="inlineStr">
        <is>
          <t>Financial / QoE</t>
        </is>
      </c>
      <c r="C6" s="12" t="inlineStr">
        <is>
          <t>Aggressive $5.4M EBITDA Add-Back Package — Largely Disallowed by Bank</t>
        </is>
      </c>
      <c r="D6" s="12" t="inlineStr">
        <is>
          <t>Management adds back $5.4M to arrive at Adj. EBITDA. Bank's Consolidated EBITDA definition caps non-recurring add-backs at $500K, yielding bank EBITDA of ~$18.4M. Key concerns: (1) Pinnacle integration costs ($800K) continuing 2+ years post-close; (2) ERP Phase 2 costs ($650K) ongoing into FY2025; (3) owner comp normalization ($950K) illusory if founders remain at $875K each; (4) asbestos wind-down ($1.8M) with open tail liabilities.</t>
        </is>
      </c>
      <c r="E6" s="8" t="inlineStr">
        <is>
          <t>HIGH</t>
        </is>
      </c>
      <c r="F6" s="13" t="n">
        <v>2000</v>
      </c>
      <c r="G6" s="13" t="n">
        <v>4000</v>
      </c>
      <c r="H6" s="12" t="inlineStr">
        <is>
          <t>Potential $2–4M reduction to normalized EBITDA; $16–18M valuation impact at stated multiples</t>
        </is>
      </c>
      <c r="I6" s="12" t="inlineStr">
        <is>
          <t>QoE Data Package — EBITDA Bridge Tab; Credit Agreement Summary §4; Employment Agreements Summary</t>
        </is>
      </c>
      <c r="J6" s="8" t="inlineStr">
        <is>
          <t>Open</t>
        </is>
      </c>
      <c r="K6" s="12" t="inlineStr">
        <is>
          <t>Conduct independent QoE. Stress-test each add-back for recurrence. Obtain 3-year history of 'non-recurring' items. Adjust valuation for non-qualifying add-backs.</t>
        </is>
      </c>
      <c r="L6" s="12" t="inlineStr">
        <is>
          <t>Representation re: non-recurrence of adjusted items; specific indemnity for ERP Phase 2 costs post-closing</t>
        </is>
      </c>
      <c r="M6" s="14" t="inlineStr">
        <is>
          <t>Yes — pre-signing</t>
        </is>
      </c>
      <c r="N6" s="12" t="inlineStr">
        <is>
          <t>Financial / QoE</t>
        </is>
      </c>
    </row>
    <row r="7" ht="80" customHeight="1">
      <c r="A7" s="6" t="inlineStr">
        <is>
          <t>RF-03</t>
        </is>
      </c>
      <c r="B7" s="7" t="inlineStr">
        <is>
          <t>Commercial / Revenue</t>
        </is>
      </c>
      <c r="C7" s="7" t="inlineStr">
        <is>
          <t>DOE IDIQ Ceiling Near Exhaustion — $12.1M Revenue Headwind in FY2025</t>
        </is>
      </c>
      <c r="D7" s="7" t="inlineStr">
        <is>
          <t>DOE IDIQ contract (DE-EM-0005523) is largest customer at $24.4M (19.2% of revenue). 72.7% of $45M ceiling consumed in 61.7% of contract period. At current run rate (~$2.03M/month), remaining $12.3M ceiling exhausted by ~April–May 2025 — coinciding with target closing. Contract expires August 31, 2026, leaving ~16 months unfunded. CIM presents DOE as providing 'substantial near-term revenue visibility' — materially misleading. Contract also non-assignable without Contracting Officer consent (Anti-Assignment Act); novation may be required.</t>
        </is>
      </c>
      <c r="E7" s="15" t="inlineStr">
        <is>
          <t>CRITICAL</t>
        </is>
      </c>
      <c r="F7" s="9" t="n">
        <v>12100</v>
      </c>
      <c r="G7" s="9" t="n">
        <v>24400</v>
      </c>
      <c r="H7" s="7" t="inlineStr">
        <is>
          <t>Revenue could fall from $24.4M to ≤$12.3M in FY2025 absent ceiling modification; $97–109M valuation impact at stated multiples if EBITDA declines proportionally</t>
        </is>
      </c>
      <c r="I7" s="7" t="inlineStr">
        <is>
          <t>Customer Contract Summary — DOE IDIQ Utilization Analysis Tab; CIM §VI.D, §VIII.A</t>
        </is>
      </c>
      <c r="J7" s="8" t="inlineStr">
        <is>
          <t>Open</t>
        </is>
      </c>
      <c r="K7" s="7" t="inlineStr">
        <is>
          <t>Obtain written CO confirmation re: ceiling modification prospects and novation requirements. Treat DOE revenue above $12.3M as non-recurring in valuation absent ceiling increase commitment. Reduce enterprise value accordingly.</t>
        </is>
      </c>
      <c r="L7" s="7" t="inlineStr">
        <is>
          <t>Representation re: DOE contract status and ceiling; specific indemnity for revenue shortfall if ceiling not increased; MAC definition to include DOE ceiling exhaustion</t>
        </is>
      </c>
      <c r="M7" s="10" t="inlineStr">
        <is>
          <t>Yes — pre-signing</t>
        </is>
      </c>
      <c r="N7" s="7" t="inlineStr">
        <is>
          <t>Commercial / Revenue</t>
        </is>
      </c>
    </row>
    <row r="8" ht="80" customHeight="1">
      <c r="A8" s="11" t="inlineStr">
        <is>
          <t>RF-04</t>
        </is>
      </c>
      <c r="B8" s="12" t="inlineStr">
        <is>
          <t>Financial / QoE</t>
        </is>
      </c>
      <c r="C8" s="12" t="inlineStr">
        <is>
          <t>Fleet Aging — 44.7% of Assets Past Useful Life; $9.8M Replacement Backlog</t>
        </is>
      </c>
      <c r="D8" s="12" t="inlineStr">
        <is>
          <t>38 of 85 fleet/equipment assets (44.7%) are at or past stated useful life. Average fleet age 8.2 years vs. 7.0-year weighted average useful life. Total estimated replacement cost for past-useful-life units: $9.8M. Many marked 'Replacement Deferred.' Management's normalized maintenance capex of $4.0–4.5M/year appears understated; actual FY2024 maintenance capex was $5.3M. Spreading $9.8M backlog over 3 years implies ~$3.3M/year in catch-up capex above current run rate.</t>
        </is>
      </c>
      <c r="E8" s="16" t="inlineStr">
        <is>
          <t>MEDIUM-HIGH</t>
        </is>
      </c>
      <c r="F8" s="13" t="n">
        <v>3000</v>
      </c>
      <c r="G8" s="13" t="n">
        <v>5000</v>
      </c>
      <c r="H8" s="12" t="inlineStr">
        <is>
          <t>$3–5M additional annual capex above management estimate; $9.8M near-term replacement obligation not reflected in valuation</t>
        </is>
      </c>
      <c r="I8" s="12" t="inlineStr">
        <is>
          <t>QoE Data Package — Fleet &amp; Equipment Schedule Tab; Capex Detail Tab</t>
        </is>
      </c>
      <c r="J8" s="8" t="inlineStr">
        <is>
          <t>Open</t>
        </is>
      </c>
      <c r="K8" s="12" t="inlineStr">
        <is>
          <t>Commission independent fleet appraisal. Adjust normalized capex upward in valuation model. Negotiate purchase price reduction or capex escrow of $5–7M.</t>
        </is>
      </c>
      <c r="L8" s="12" t="inlineStr">
        <is>
          <t>Representation re: fleet condition; capex escrow or purchase price reduction; specific indemnity for deferred maintenance costs</t>
        </is>
      </c>
      <c r="M8" s="14" t="inlineStr">
        <is>
          <t>No — address in valuation</t>
        </is>
      </c>
      <c r="N8" s="12" t="inlineStr">
        <is>
          <t>Financial / QoE</t>
        </is>
      </c>
    </row>
    <row r="9" ht="80" customHeight="1">
      <c r="A9" s="6" t="inlineStr">
        <is>
          <t>RF-05</t>
        </is>
      </c>
      <c r="B9" s="7" t="inlineStr">
        <is>
          <t>Financial / QoE</t>
        </is>
      </c>
      <c r="C9" s="7" t="inlineStr">
        <is>
          <t>Reported EBITDA Declined 27% YoY; Revenue Growth Decelerating</t>
        </is>
      </c>
      <c r="D9" s="7" t="inlineStr">
        <is>
          <t>Reported EBITDA fell from $25.2M (FY2023) to $18.4M (FY2024) — a 27% decline — even as revenue grew 11.1%. EBIT margin compressed from 16.0% to 14.5%. Hazardous waste transport margin compressed due to diesel/disposal fee inflation. Industrial cleaning revenue grew 48% YoY partly from one-time absorption of former asbestos clients — non-recurring benefit. Revenue growth decelerated from 17.2% (FY2023) to 11.1% (FY2024).</t>
        </is>
      </c>
      <c r="E9" s="17" t="inlineStr">
        <is>
          <t>MEDIUM</t>
        </is>
      </c>
      <c r="F9" s="7" t="n"/>
      <c r="G9" s="7" t="n"/>
      <c r="H9" s="7" t="inlineStr">
        <is>
          <t>Valuation basis risk; downside scenario using reported EBITDA of $18.4M implies EV of $147–$166M at stated multiples</t>
        </is>
      </c>
      <c r="I9" s="7" t="inlineStr">
        <is>
          <t>QoE Data Package — Historical P&amp;L Tab; Service Line Detail Tab</t>
        </is>
      </c>
      <c r="J9" s="8" t="inlineStr">
        <is>
          <t>Open</t>
        </is>
      </c>
      <c r="K9" s="7" t="inlineStr">
        <is>
          <t>Obtain management explanation for EBITDA decline. Assess sustainability of industrial cleaning growth. Model downside scenario with reported EBITDA as base.</t>
        </is>
      </c>
      <c r="L9" s="7" t="inlineStr">
        <is>
          <t>Representation re: absence of MAC since September 30, 2024; financial statement accuracy</t>
        </is>
      </c>
      <c r="M9" s="10" t="inlineStr">
        <is>
          <t>No — address in valuation</t>
        </is>
      </c>
      <c r="N9" s="7" t="inlineStr">
        <is>
          <t>Financial / QoE</t>
        </is>
      </c>
    </row>
    <row r="10" ht="18" customHeight="1">
      <c r="A10" s="4" t="inlineStr">
        <is>
          <t xml:space="preserve">  ENVIRONMENTAL &amp; REGULATORY</t>
        </is>
      </c>
      <c r="B10" s="5" t="n"/>
      <c r="C10" s="5" t="n"/>
      <c r="D10" s="5" t="n"/>
      <c r="E10" s="5" t="n"/>
      <c r="F10" s="5" t="n"/>
      <c r="G10" s="5" t="n"/>
      <c r="H10" s="5" t="n"/>
      <c r="I10" s="5" t="n"/>
      <c r="J10" s="5" t="n"/>
      <c r="K10" s="5" t="n"/>
      <c r="L10" s="5" t="n"/>
      <c r="M10" s="5" t="n"/>
      <c r="N10" s="5" t="n"/>
    </row>
    <row r="11" ht="80" customHeight="1">
      <c r="A11" s="6" t="inlineStr">
        <is>
          <t>RF-06</t>
        </is>
      </c>
      <c r="B11" s="7" t="inlineStr">
        <is>
          <t>Environmental</t>
        </is>
      </c>
      <c r="C11" s="7" t="inlineStr">
        <is>
          <t>Grand Junction Phase II ESA — Stale 2019 Assessment; Vapor Intrusion Unassessed</t>
        </is>
      </c>
      <c r="D11" s="7" t="inlineStr">
        <is>
          <t>Phase II ESA completed June 2019 (5+ years ago). Identified: (1) petroleum hydrocarbon contamination (TPH-diesel up to 4,200 mg/kg; benzene in GW at 12 µg/L, exceeding CO standards); (2) chlorinated solvent contamination (PCE up to 18 mg/kg soil; PCE 22 µg/L and TCE 8.7 µg/L in GW, both exceeding CO standards); (3) vapor intrusion risk at eastern maintenance building (PCE 450 µg/m³ vs. EPA RSL of 240 µg/m³) — no vapor intrusion assessment conducted; (4) off-site plume migration unconfirmed — no sentinel wells installed. 2019 cost estimate of $1.8–2.6M excludes vapor intrusion mitigation, off-site remediation, and DNAPL migration. ESA report recommends update before any property transaction — no update commissioned. Company's $2.2M Grand Junction accrual may be materially understated.</t>
        </is>
      </c>
      <c r="E11" s="8" t="inlineStr">
        <is>
          <t>HIGH</t>
        </is>
      </c>
      <c r="F11" s="9" t="n">
        <v>2600</v>
      </c>
      <c r="G11" s="9" t="n">
        <v>10000</v>
      </c>
      <c r="H11" s="7" t="inlineStr">
        <is>
          <t>2019 estimate $1.8–2.6M in 2019 dollars; excludes vapor intrusion, off-site migration, DNAPL costs; updated estimate could be $5–10M+</t>
        </is>
      </c>
      <c r="I11" s="7" t="inlineStr">
        <is>
          <t>Phase II ESA Executive Summary (Elkhorn, June 2019); Litigation &amp; Regulatory Summary §VI.A; Real Property &amp; Lease Schedule §2.1; Environmental Permit Schedule §2.1</t>
        </is>
      </c>
      <c r="J11" s="8" t="inlineStr">
        <is>
          <t>Open</t>
        </is>
      </c>
      <c r="K11" s="7" t="inlineStr">
        <is>
          <t>Commission updated Phase II ESA and vapor intrusion assessment as pre-closing condition. Obtain independent remediation cost estimate. Negotiate environmental indemnification with 6-year survival and separate escrow of $5–10M.</t>
        </is>
      </c>
      <c r="L11" s="7" t="inlineStr">
        <is>
          <t>Environmental reps &amp; warranties with 6-year survival; separate environmental escrow; specific indemnity for Grand Junction remediation; right to conduct Phase II update</t>
        </is>
      </c>
      <c r="M11" s="10" t="inlineStr">
        <is>
          <t>Yes — pre-closing</t>
        </is>
      </c>
      <c r="N11" s="7" t="inlineStr">
        <is>
          <t>Environmental</t>
        </is>
      </c>
    </row>
    <row r="12" ht="80" customHeight="1">
      <c r="A12" s="11" t="inlineStr">
        <is>
          <t>RF-07</t>
        </is>
      </c>
      <c r="B12" s="12" t="inlineStr">
        <is>
          <t>Environmental</t>
        </is>
      </c>
      <c r="C12" s="12" t="inlineStr">
        <is>
          <t>Active CDPHE Enforcement Action — No Accrual; Penalty Up to $1.16M</t>
        </is>
      </c>
      <c r="D12" s="12" t="inlineStr">
        <is>
          <t>CDPHE issued NOV (Docket No. CDPHE-HW-2024-0093) on July 18, 2024 for improper storage of ~14,000 gallons of F001/F002 listed hazardous waste at Grand Junction. Parties dispute violation period: RES claims 12 days (max penalty $450K); CDPHE claims 31 days (max penalty $1.16M). No accrual recorded as of September 30, 2024. Settlement conference expected Q1 2025. CDPHE's 31-day position, if upheld, could trigger Credit Agreement Event of Default (environmental order &gt;$1.0M threshold).</t>
        </is>
      </c>
      <c r="E12" s="16" t="inlineStr">
        <is>
          <t>MEDIUM-HIGH</t>
        </is>
      </c>
      <c r="F12" s="13" t="n">
        <v>200</v>
      </c>
      <c r="G12" s="13" t="n">
        <v>1163</v>
      </c>
      <c r="H12" s="12" t="inlineStr">
        <is>
          <t>Management estimates $200–450K settlement; CDPHE's 31-day position implies up to $1.16M; potential credit agreement default trigger</t>
        </is>
      </c>
      <c r="I12" s="12" t="inlineStr">
        <is>
          <t>Litigation &amp; Regulatory Summary §III.A; Credit Agreement Summary §10; Environmental Permit Schedule §2.1</t>
        </is>
      </c>
      <c r="J12" s="8" t="inlineStr">
        <is>
          <t>Open</t>
        </is>
      </c>
      <c r="K12" s="12" t="inlineStr">
        <is>
          <t>Require resolution or escrow of CDPHE matter before closing. Obtain independent legal assessment of CDPHE's 31-day position. Confirm no credit agreement default triggered.</t>
        </is>
      </c>
      <c r="L12" s="12" t="inlineStr">
        <is>
          <t>Specific indemnity for CDPHE enforcement action; escrow of $1.16M pending resolution; environmental reps with 6-year survival</t>
        </is>
      </c>
      <c r="M12" s="14" t="inlineStr">
        <is>
          <t>Yes — pre-closing</t>
        </is>
      </c>
      <c r="N12" s="12" t="inlineStr">
        <is>
          <t>Environmental</t>
        </is>
      </c>
    </row>
    <row r="13" ht="80" customHeight="1">
      <c r="A13" s="6" t="inlineStr">
        <is>
          <t>RF-08</t>
        </is>
      </c>
      <c r="B13" s="7" t="inlineStr">
        <is>
          <t>Environmental</t>
        </is>
      </c>
      <c r="C13" s="7" t="inlineStr">
        <is>
          <t>Asbestos Long-Tail Liability — Pre-2015 Work Uninsured; 145 Sites</t>
        </is>
      </c>
      <c r="D13" s="7" t="inlineStr">
        <is>
          <t>RES operated asbestos abatement service line 2012–September 2023 at ~145 commercial/industrial sites across CO, UT, WY. Current PLL policy has retroactive date of January 1, 2015 — work performed 2012–2014 is NOT covered. CGL policy contains blanket asbestos exclusion. No tail coverage procured for completed asbestos operations. Two open workers' comp claims from former asbestos employees (filed 2021 and 2022) alleging occupational respiratory exposure. Asbestos-related diseases have 10–40 year latency periods.</t>
        </is>
      </c>
      <c r="E13" s="16" t="inlineStr">
        <is>
          <t>MEDIUM-HIGH</t>
        </is>
      </c>
      <c r="F13" s="9" t="n">
        <v>1000</v>
      </c>
      <c r="G13" s="9" t="n">
        <v>10000</v>
      </c>
      <c r="H13" s="7" t="inlineStr">
        <is>
          <t>Unquantifiable; potentially $1M–$10M+ for latent disease claims; pre-2015 work entirely uninsured</t>
        </is>
      </c>
      <c r="I13" s="7" t="inlineStr">
        <is>
          <t>Litigation &amp; Regulatory Summary §VI.B; Insurance Program Summary §2, §4; QoE Data Package — Service Line Detail Tab</t>
        </is>
      </c>
      <c r="J13" s="8" t="inlineStr">
        <is>
          <t>Open</t>
        </is>
      </c>
      <c r="K13" s="7" t="inlineStr">
        <is>
          <t>Obtain independent actuarial assessment of asbestos tail liability. Require procurement of asbestos completed operations tail coverage as closing condition, or negotiate specific indemnification with extended survival and separate escrow. Review all 145 project sites.</t>
        </is>
      </c>
      <c r="L13" s="7" t="inlineStr">
        <is>
          <t>Specific indemnity for asbestos claims with extended survival (statute of limitations); separate asbestos escrow; require tail coverage procurement</t>
        </is>
      </c>
      <c r="M13" s="10" t="inlineStr">
        <is>
          <t>Yes — pre-closing</t>
        </is>
      </c>
      <c r="N13" s="7" t="inlineStr">
        <is>
          <t>Environmental / Legal</t>
        </is>
      </c>
    </row>
    <row r="14" ht="80" customHeight="1">
      <c r="A14" s="11" t="inlineStr">
        <is>
          <t>RF-09</t>
        </is>
      </c>
      <c r="B14" s="12" t="inlineStr">
        <is>
          <t>Environmental</t>
        </is>
      </c>
      <c r="C14" s="12" t="inlineStr">
        <is>
          <t>Wyoming Casper Permit Expired — Operating on Timely Renewal Provisions</t>
        </is>
      </c>
      <c r="D14" s="12" t="inlineStr">
        <is>
          <t>Wyoming Hazardous Waste Permit WY-HW-2019-033 (Casper facility) expired November 30, 2024. Renewal application filed October 15, 2024 (timely). Company operating under Wyoming timely renewal provisions. Risks: (1) Credit Agreement lists permit revocation/non-renewal as Event of Default; (2) Wyoming DEQ could impose conditions on renewal; (3) Casper facility serves ~$30M+ in Wyoming revenue (23.7% of total).</t>
        </is>
      </c>
      <c r="E14" s="17" t="inlineStr">
        <is>
          <t>MEDIUM</t>
        </is>
      </c>
      <c r="F14" s="12" t="n"/>
      <c r="G14" s="12" t="n"/>
      <c r="H14" s="12" t="inlineStr">
        <is>
          <t>Operational disruption risk; potential credit agreement default; renewal conditions could increase compliance costs</t>
        </is>
      </c>
      <c r="I14" s="12" t="inlineStr">
        <is>
          <t>Environmental Permit Schedule §2.4; Credit Agreement Summary §10; Real Property &amp; Lease Schedule §4.3</t>
        </is>
      </c>
      <c r="J14" s="16" t="inlineStr">
        <is>
          <t>In Progress</t>
        </is>
      </c>
      <c r="K14" s="12" t="inlineStr">
        <is>
          <t>Obtain written confirmation from Wyoming DEQ of renewal timeline and absence of anticipated conditions. Confirm no credit agreement default triggered. Monitor through closing.</t>
        </is>
      </c>
      <c r="L14" s="12" t="inlineStr">
        <is>
          <t>Representation re: permit status; covenant to maintain permits through closing; specific indemnity if renewal denied or conditioned</t>
        </is>
      </c>
      <c r="M14" s="14" t="inlineStr">
        <is>
          <t>Yes — monitor through closing</t>
        </is>
      </c>
      <c r="N14" s="12" t="inlineStr">
        <is>
          <t>Environmental</t>
        </is>
      </c>
    </row>
    <row r="15" ht="18" customHeight="1">
      <c r="A15" s="4" t="inlineStr">
        <is>
          <t xml:space="preserve">  COMMERCIAL / CUSTOMER CONCENTRATION</t>
        </is>
      </c>
      <c r="B15" s="5" t="n"/>
      <c r="C15" s="5" t="n"/>
      <c r="D15" s="5" t="n"/>
      <c r="E15" s="5" t="n"/>
      <c r="F15" s="5" t="n"/>
      <c r="G15" s="5" t="n"/>
      <c r="H15" s="5" t="n"/>
      <c r="I15" s="5" t="n"/>
      <c r="J15" s="5" t="n"/>
      <c r="K15" s="5" t="n"/>
      <c r="L15" s="5" t="n"/>
      <c r="M15" s="5" t="n"/>
      <c r="N15" s="5" t="n"/>
    </row>
    <row r="16" ht="80" customHeight="1">
      <c r="A16" s="6" t="inlineStr">
        <is>
          <t>RF-10</t>
        </is>
      </c>
      <c r="B16" s="7" t="inlineStr">
        <is>
          <t>Commercial / Revenue</t>
        </is>
      </c>
      <c r="C16" s="7" t="inlineStr">
        <is>
          <t>Customer Concentration — Top 5 = 50.4% of Revenue; Multiple T4C Clauses</t>
        </is>
      </c>
      <c r="D16" s="7" t="inlineStr">
        <is>
          <t>Top 5 customers = 50.4% of TTM revenue ($64.1M). Top 10 = 67.0%. Key risks: (1) DOE 19.2% — ceiling exhaustion (see RF-03); (2) Consolidated Mining 11.4% — 60-day T4C, no minimums; (3) Intermountain Health 5.6% — contract expires June 30, 2025, renewal not yet exercised, assignment requires consent; (4) 8 of top 20 contracts have assignment/CoC provisions; (5) 12 of top 20 have T4C with ≤60 days notice.</t>
        </is>
      </c>
      <c r="E16" s="16" t="inlineStr">
        <is>
          <t>MEDIUM-HIGH</t>
        </is>
      </c>
      <c r="F16" s="7" t="n"/>
      <c r="G16" s="7" t="n"/>
      <c r="H16" s="7" t="inlineStr">
        <is>
          <t>Revenue at risk from customer loss or contract non-renewal; quantification depends on which customers exercise T4C rights</t>
        </is>
      </c>
      <c r="I16" s="7" t="inlineStr">
        <is>
          <t>Customer Contract Summary — Top 20 Customers Tab, Customer Concentration Summary Tab; CIM §VI.D</t>
        </is>
      </c>
      <c r="J16" s="8" t="inlineStr">
        <is>
          <t>Open</t>
        </is>
      </c>
      <c r="K16" s="7" t="inlineStr">
        <is>
          <t>Obtain customer consent/waiver letters from all contracts with assignment/CoC provisions before closing. Confirm Intermountain Health renewal status. Treat all T4C revenue as at-risk in downside modeling.</t>
        </is>
      </c>
      <c r="L16" s="7" t="inlineStr">
        <is>
          <t>Representation re: material contract status; MAC definition to include loss of top 3 customers; customer consent letters as closing condition</t>
        </is>
      </c>
      <c r="M16" s="10" t="inlineStr">
        <is>
          <t>Yes — pre-closing</t>
        </is>
      </c>
      <c r="N16" s="7" t="inlineStr">
        <is>
          <t>Commercial / Legal</t>
        </is>
      </c>
    </row>
    <row r="17" ht="80" customHeight="1">
      <c r="A17" s="11" t="inlineStr">
        <is>
          <t>RF-11</t>
        </is>
      </c>
      <c r="B17" s="12" t="inlineStr">
        <is>
          <t>Real Property / Commercial</t>
        </is>
      </c>
      <c r="C17" s="12" t="inlineStr">
        <is>
          <t>Salt Lake City Facility — Cascading Consent Failures Affecting ~$16.2M Revenue</t>
        </is>
      </c>
      <c r="D17" s="12" t="inlineStr">
        <is>
          <t>SLC transfer station (2100 W North Temple) has three unresolved issues: (1) Lease assignment from Pinnacle to RES requested April 12, 2022 — no landlord consent received after 32 months; Sycamore acquisition would be a second layered CoC event; (2) Utah Permit UTH-0441 remains in Pinnacle Waste Solutions, LLC name — not transferred to RES; (3) ~$16.2M annual revenue (12.7% of total) served from this facility. Landlord sent inquiry in November 2024 specifically asking about change of control — signals awareness and potential enforcement intent.</t>
        </is>
      </c>
      <c r="E17" s="8" t="inlineStr">
        <is>
          <t>HIGH</t>
        </is>
      </c>
      <c r="F17" s="13" t="n">
        <v>16200</v>
      </c>
      <c r="G17" s="13" t="n">
        <v>16200</v>
      </c>
      <c r="H17" s="12" t="inlineStr">
        <is>
          <t>$16.2M annual revenue at risk from lease termination; permit operating violation risk; potential regulatory enforcement</t>
        </is>
      </c>
      <c r="I17" s="12" t="inlineStr">
        <is>
          <t>Real Property &amp; Lease Schedule §4.1, §6; Environmental Permit Schedule §2.2; Customer Contract Summary — Customer Concentration Summary Tab; Litigation &amp; Regulatory Summary §V.B</t>
        </is>
      </c>
      <c r="J17" s="8" t="inlineStr">
        <is>
          <t>Open</t>
        </is>
      </c>
      <c r="K17" s="12" t="inlineStr">
        <is>
          <t>Obtain landlord consent to both Pinnacle-to-RES assignment and Sycamore acquisition as pre-closing condition. Complete Utah permit transfer (UTH-0441) to RES before closing. Treat SLC facility revenue as contingent pending resolution.</t>
        </is>
      </c>
      <c r="L17" s="12" t="inlineStr">
        <is>
          <t>Landlord consent as closing condition; permit transfer as closing condition; specific indemnity for SLC lease/permit issues; revenue MAC trigger if SLC facility disrupted</t>
        </is>
      </c>
      <c r="M17" s="14" t="inlineStr">
        <is>
          <t>Yes — pre-closing</t>
        </is>
      </c>
      <c r="N17" s="12" t="inlineStr">
        <is>
          <t>Real Property / Legal</t>
        </is>
      </c>
    </row>
    <row r="18" ht="18" customHeight="1">
      <c r="A18" s="4" t="inlineStr">
        <is>
          <t xml:space="preserve">  LEGAL &amp; LITIGATION</t>
        </is>
      </c>
      <c r="B18" s="5" t="n"/>
      <c r="C18" s="5" t="n"/>
      <c r="D18" s="5" t="n"/>
      <c r="E18" s="5" t="n"/>
      <c r="F18" s="5" t="n"/>
      <c r="G18" s="5" t="n"/>
      <c r="H18" s="5" t="n"/>
      <c r="I18" s="5" t="n"/>
      <c r="J18" s="5" t="n"/>
      <c r="K18" s="5" t="n"/>
      <c r="L18" s="5" t="n"/>
      <c r="M18" s="5" t="n"/>
      <c r="N18" s="5" t="n"/>
    </row>
    <row r="19" ht="80" customHeight="1">
      <c r="A19" s="6" t="inlineStr">
        <is>
          <t>RF-12</t>
        </is>
      </c>
      <c r="B19" s="7" t="inlineStr">
        <is>
          <t>Legal / HR</t>
        </is>
      </c>
      <c r="C19" s="7" t="inlineStr">
        <is>
          <t>Change-of-Control Severance — $2.625M Certain at Closing; Total $3.775M</t>
        </is>
      </c>
      <c r="D19" s="7" t="inlineStr">
        <is>
          <t>All 5 executive employment agreements contain CoC severance triggered by proposed 100% stock acquisition. Aggregate: $3.775M. Single-trigger (certain at closing): Derek Calloway $1,312,500 + Jason Calloway $1,312,500 = $2,625,000. Double-trigger (contingent): Engel $425K + Dillon $375K + Oakes $350K = $1,150,000. LOI definition of 'Transaction Expenses' does not explicitly address these payments — ambiguity re: seller vs. buyer obligation. Owner comp normalization add-back ($950K) is illusory if Calloways remain at $875K each post-closing.</t>
        </is>
      </c>
      <c r="E19" s="16" t="inlineStr">
        <is>
          <t>MEDIUM-HIGH</t>
        </is>
      </c>
      <c r="F19" s="9" t="n">
        <v>2625</v>
      </c>
      <c r="G19" s="9" t="n">
        <v>3775</v>
      </c>
      <c r="H19" s="7" t="inlineStr">
        <is>
          <t>$2.625M certain at closing (single-trigger); up to $3.775M total if double-trigger executives also terminated</t>
        </is>
      </c>
      <c r="I19" s="7" t="inlineStr">
        <is>
          <t>Employment Agreements Summary §2, §8; QoE Data Package — Executive Compensation Tab; LOI §4(c)</t>
        </is>
      </c>
      <c r="J19" s="8" t="inlineStr">
        <is>
          <t>Open</t>
        </is>
      </c>
      <c r="K19" s="7" t="inlineStr">
        <is>
          <t>Confirm treatment of CoC severance in purchase price mechanism (seller-borne Transaction Expense). Negotiate post-closing employment arrangements with Calloways before signing. Assess whether single-trigger provisions can be restructured.</t>
        </is>
      </c>
      <c r="L19" s="7" t="inlineStr">
        <is>
          <t>Confirm CoC severance as seller-borne Transaction Expense; negotiate post-closing employment agreements; representation re: no additional compensation arrangements</t>
        </is>
      </c>
      <c r="M19" s="10" t="inlineStr">
        <is>
          <t>Yes — pre-signing</t>
        </is>
      </c>
      <c r="N19" s="7" t="inlineStr">
        <is>
          <t>Legal / HR</t>
        </is>
      </c>
    </row>
    <row r="20" ht="80" customHeight="1">
      <c r="A20" s="11" t="inlineStr">
        <is>
          <t>RF-13</t>
        </is>
      </c>
      <c r="B20" s="12" t="inlineStr">
        <is>
          <t>Legal</t>
        </is>
      </c>
      <c r="C20" s="12" t="inlineStr">
        <is>
          <t>Ramirez Personal Injury Lawsuit — Coverage Uncertain; $4.8M Claimed</t>
        </is>
      </c>
      <c r="D20" s="12" t="inlineStr">
        <is>
          <t>Miguel Ramirez (former field technician) filed suit August 12, 2024 (Case No. 2:24-cv-00187, D. Wyo.) alleging VOC and heavy metal exposure at Sheridan, WY remediation site. Claims: negligence, negligence per se (OSHA violations), strict liability. Seeks $4.8M including punitive damages. Insurer (Frontier Specialty) issued reservation of rights letter September 19, 2024 — coverage not confirmed. No accrual recorded. Trial date February 2026.</t>
        </is>
      </c>
      <c r="E20" s="17" t="inlineStr">
        <is>
          <t>MEDIUM</t>
        </is>
      </c>
      <c r="F20" s="13" t="n">
        <v>500</v>
      </c>
      <c r="G20" s="13" t="n">
        <v>4800</v>
      </c>
      <c r="H20" s="12" t="inlineStr">
        <is>
          <t>Management estimates $500K–$1.5M; up to $4.8M if punitive damages awarded and coverage denied</t>
        </is>
      </c>
      <c r="I20" s="12" t="inlineStr">
        <is>
          <t>Litigation &amp; Regulatory Summary §II.B; Insurance Program Summary §7</t>
        </is>
      </c>
      <c r="J20" s="8" t="inlineStr">
        <is>
          <t>Open</t>
        </is>
      </c>
      <c r="K20" s="12" t="inlineStr">
        <is>
          <t>Obtain coverage counsel opinion on reservation of rights. Require specific indemnification for Ramirez matter in SPA. Monitor coverage determination before closing.</t>
        </is>
      </c>
      <c r="L20" s="12" t="inlineStr">
        <is>
          <t>Specific indemnity for Ramirez matter; representation re: insurance coverage; escrow of $1.5M pending resolution</t>
        </is>
      </c>
      <c r="M20" s="14" t="inlineStr">
        <is>
          <t>No — address in SPA</t>
        </is>
      </c>
      <c r="N20" s="12" t="inlineStr">
        <is>
          <t>Legal</t>
        </is>
      </c>
    </row>
    <row r="21" ht="80" customHeight="1">
      <c r="A21" s="6" t="inlineStr">
        <is>
          <t>RF-14</t>
        </is>
      </c>
      <c r="B21" s="7" t="inlineStr">
        <is>
          <t>Legal / HR</t>
        </is>
      </c>
      <c r="C21" s="7" t="inlineStr">
        <is>
          <t>NLRB Unionization Petition — 62 Field Technicians at Core Facilities (Undisclosed in CIM)</t>
        </is>
      </c>
      <c r="D21" s="7" t="inlineStr">
        <is>
          <t>Footnote in Employee Benefits Summary discloses that on November 4, 2024, International Brotherhood of Teamsters Local 455 filed NLRB election petition covering 62 field technicians at Grand Junction and Casper facilities — the Company's two largest operational hubs. NOT disclosed in CIM or any primary data room document. If union election succeeds: (1) material labor cost increase; (2) constrained operational flexibility; (3) loss of non-union competitive positioning; (4) potential WARN Act obligations in post-closing restructuring.</t>
        </is>
      </c>
      <c r="E21" s="17" t="inlineStr">
        <is>
          <t>MEDIUM</t>
        </is>
      </c>
      <c r="F21" s="7" t="n"/>
      <c r="G21" s="7" t="n"/>
      <c r="H21" s="7" t="inlineStr">
        <is>
          <t>Unquantifiable; labor cost increase could be $1–3M+ annually if unionization succeeds; operational flexibility impaired</t>
        </is>
      </c>
      <c r="I21" s="7" t="inlineStr">
        <is>
          <t>Employee Benefits Summary §7 (footnote); CIM §VII.A (no disclosure)</t>
        </is>
      </c>
      <c r="J21" s="8" t="inlineStr">
        <is>
          <t>Open</t>
        </is>
      </c>
      <c r="K21" s="7" t="inlineStr">
        <is>
          <t>Obtain full details of NLRB petition and Company's response strategy. Assess probability of election success and financial impact. Include specific labor relations representation in SPA. Treat as potential MAC trigger.</t>
        </is>
      </c>
      <c r="L21" s="7" t="inlineStr">
        <is>
          <t>Representation re: absence of pending labor organizing activity (or specific disclosure and indemnification); MAC definition to include successful union election</t>
        </is>
      </c>
      <c r="M21" s="10" t="inlineStr">
        <is>
          <t>No — address in SPA</t>
        </is>
      </c>
      <c r="N21" s="7" t="inlineStr">
        <is>
          <t>Legal / HR</t>
        </is>
      </c>
    </row>
    <row r="22" ht="18" customHeight="1">
      <c r="A22" s="4" t="inlineStr">
        <is>
          <t xml:space="preserve">  STRUCTURAL / TRANSACTIONAL</t>
        </is>
      </c>
      <c r="B22" s="5" t="n"/>
      <c r="C22" s="5" t="n"/>
      <c r="D22" s="5" t="n"/>
      <c r="E22" s="5" t="n"/>
      <c r="F22" s="5" t="n"/>
      <c r="G22" s="5" t="n"/>
      <c r="H22" s="5" t="n"/>
      <c r="I22" s="5" t="n"/>
      <c r="J22" s="5" t="n"/>
      <c r="K22" s="5" t="n"/>
      <c r="L22" s="5" t="n"/>
      <c r="M22" s="5" t="n"/>
      <c r="N22" s="5" t="n"/>
    </row>
    <row r="23" ht="80" customHeight="1">
      <c r="A23" s="6" t="inlineStr">
        <is>
          <t>RF-15</t>
        </is>
      </c>
      <c r="B23" s="7" t="inlineStr">
        <is>
          <t>Structural / Transactional</t>
        </is>
      </c>
      <c r="C23" s="7" t="inlineStr">
        <is>
          <t>Credit Agreement Mandatory Prepayment ~$39.2M; No Waiver Mechanism</t>
        </is>
      </c>
      <c r="D23" s="7" t="inlineStr">
        <is>
          <t>Credit Agreement with High Plains National Bank defines Change of Control to include acquisition of 50%+ of RES equity — clearly triggered by proposed transaction. Upon CoC: (1) all $38.7M outstanding debt must be prepaid within 5 business days; (2) prepayment premium of 1.0% on term loan ($26.3M × 1.0% = $263K); (3) revolving commitment permanently terminated; (4) no consent or waiver mechanism exists. Derek Calloway's departure as CEO (even if replaced) is a separate Event of Default. Credit Agreement also triggers default for: environmental remediation order &gt;$1.0M (potentially implicated by CDPHE action and Grand Junction remediation); permit revocation/non-renewal (Wyoming permit expired). LOI Net Debt adjustment accounts for $38.7M principal but may not fully capture prepayment premium and accrued interest.</t>
        </is>
      </c>
      <c r="E23" s="8" t="inlineStr">
        <is>
          <t>HIGH</t>
        </is>
      </c>
      <c r="F23" s="9" t="n">
        <v>39163</v>
      </c>
      <c r="G23" s="9" t="n">
        <v>39263</v>
      </c>
      <c r="H23" s="7" t="inlineStr">
        <is>
          <t>$38.7M principal + $263K prepayment premium + $200–300K accrued interest = ~$39.2M total mandatory prepayment</t>
        </is>
      </c>
      <c r="I23" s="7" t="inlineStr">
        <is>
          <t>Credit Agreement Summary §8, §9, §10; LOI §4(b); Litigation &amp; Regulatory Summary §III.A</t>
        </is>
      </c>
      <c r="J23" s="8" t="inlineStr">
        <is>
          <t>Open</t>
        </is>
      </c>
      <c r="K23" s="7" t="inlineStr">
        <is>
          <t>Arrange acquisition financing to refinance credit facility at closing. Confirm payoff letter mechanics with High Plains National Bank. Verify no existing Events of Default prior to closing. Confirm prepayment premium and accrued interest included in Net Debt definition.</t>
        </is>
      </c>
      <c r="L23" s="7" t="inlineStr">
        <is>
          <t>Confirm Net Debt definition captures all prepayment costs; covenant to maintain credit facility in good standing through closing; representation re: no Events of Default</t>
        </is>
      </c>
      <c r="M23" s="10" t="inlineStr">
        <is>
          <t>Yes — pre-closing</t>
        </is>
      </c>
      <c r="N23" s="7" t="inlineStr">
        <is>
          <t>Structural / Finance</t>
        </is>
      </c>
    </row>
  </sheetData>
  <autoFilter ref="A3:N3"/>
  <mergeCells count="7">
    <mergeCell ref="A18:N18"/>
    <mergeCell ref="A22:N22"/>
    <mergeCell ref="A4:N4"/>
    <mergeCell ref="A2:N2"/>
    <mergeCell ref="A15:N15"/>
    <mergeCell ref="A10:N10"/>
    <mergeCell ref="A1:N1"/>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H16"/>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22" customWidth="1" min="3" max="3"/>
    <col width="14" customWidth="1" min="4" max="4"/>
    <col width="18" customWidth="1" min="5" max="5"/>
    <col width="18" customWidth="1" min="6" max="6"/>
    <col width="45" customWidth="1" min="7" max="7"/>
    <col width="12" customWidth="1" min="8" max="8"/>
  </cols>
  <sheetData>
    <row r="1" ht="28" customHeight="1">
      <c r="A1" s="18" t="inlineStr">
        <is>
          <t>PROJECT RIDGELINE — QUANTIFIED EXPOSURE SUMMARY</t>
        </is>
      </c>
    </row>
    <row r="2" ht="16" customHeight="1">
      <c r="A2" s="2" t="inlineStr">
        <is>
          <t>All figures in USD ($000s)  |  December 2024  |  CONFIDENTIAL</t>
        </is>
      </c>
    </row>
    <row r="3" ht="30" customHeight="1">
      <c r="A3" s="3" t="inlineStr">
        <is>
          <t>ID</t>
        </is>
      </c>
      <c r="B3" s="3" t="inlineStr">
        <is>
          <t>Red Flag Title</t>
        </is>
      </c>
      <c r="C3" s="3" t="inlineStr">
        <is>
          <t>Category</t>
        </is>
      </c>
      <c r="D3" s="3" t="inlineStr">
        <is>
          <t>Severity</t>
        </is>
      </c>
      <c r="E3" s="3" t="inlineStr">
        <is>
          <t>Exposure Low ($K)</t>
        </is>
      </c>
      <c r="F3" s="3" t="inlineStr">
        <is>
          <t>Exposure High ($K)</t>
        </is>
      </c>
      <c r="G3" s="3" t="inlineStr">
        <is>
          <t>Exposure Notes</t>
        </is>
      </c>
      <c r="H3" s="3" t="inlineStr">
        <is>
          <t>Status</t>
        </is>
      </c>
    </row>
    <row r="4" ht="40" customHeight="1">
      <c r="A4" s="6" t="inlineStr">
        <is>
          <t>RF-01</t>
        </is>
      </c>
      <c r="B4" s="7" t="inlineStr">
        <is>
          <t>EBITDA Bridge Discrepancy</t>
        </is>
      </c>
      <c r="C4" s="7" t="inlineStr">
        <is>
          <t>Financial / QoE</t>
        </is>
      </c>
      <c r="D4" s="8" t="inlineStr">
        <is>
          <t>HIGH</t>
        </is>
      </c>
      <c r="E4" s="9" t="n">
        <v>8000</v>
      </c>
      <c r="F4" s="9" t="n">
        <v>9000</v>
      </c>
      <c r="G4" s="7" t="inlineStr">
        <is>
          <t>Valuation impact at 8–9x multiple</t>
        </is>
      </c>
      <c r="H4" s="7" t="inlineStr">
        <is>
          <t>Open</t>
        </is>
      </c>
    </row>
    <row r="5" ht="40" customHeight="1">
      <c r="A5" s="11" t="inlineStr">
        <is>
          <t>RF-02</t>
        </is>
      </c>
      <c r="B5" s="12" t="inlineStr">
        <is>
          <t>Aggressive $5.4M EBITDA Add-Back Package</t>
        </is>
      </c>
      <c r="C5" s="12" t="inlineStr">
        <is>
          <t>Financial / QoE</t>
        </is>
      </c>
      <c r="D5" s="8" t="inlineStr">
        <is>
          <t>HIGH</t>
        </is>
      </c>
      <c r="E5" s="13" t="n">
        <v>2000</v>
      </c>
      <c r="F5" s="13" t="n">
        <v>4000</v>
      </c>
      <c r="G5" s="12" t="inlineStr">
        <is>
          <t>Potential EBITDA reduction; $16–18M valuation impact</t>
        </is>
      </c>
      <c r="H5" s="12" t="inlineStr">
        <is>
          <t>Open</t>
        </is>
      </c>
    </row>
    <row r="6" ht="40" customHeight="1">
      <c r="A6" s="6" t="inlineStr">
        <is>
          <t>RF-03</t>
        </is>
      </c>
      <c r="B6" s="7" t="inlineStr">
        <is>
          <t>DOE IDIQ Ceiling Near Exhaustion</t>
        </is>
      </c>
      <c r="C6" s="7" t="inlineStr">
        <is>
          <t>Commercial</t>
        </is>
      </c>
      <c r="D6" s="15" t="inlineStr">
        <is>
          <t>CRITICAL</t>
        </is>
      </c>
      <c r="E6" s="9" t="n">
        <v>12100</v>
      </c>
      <c r="F6" s="9" t="n">
        <v>24400</v>
      </c>
      <c r="G6" s="7" t="inlineStr">
        <is>
          <t>Revenue headwind; $97–109M valuation impact at stated multiples</t>
        </is>
      </c>
      <c r="H6" s="7" t="inlineStr">
        <is>
          <t>Open</t>
        </is>
      </c>
    </row>
    <row r="7" ht="40" customHeight="1">
      <c r="A7" s="11" t="inlineStr">
        <is>
          <t>RF-04</t>
        </is>
      </c>
      <c r="B7" s="12" t="inlineStr">
        <is>
          <t>Fleet Aging — $9.8M Replacement Backlog</t>
        </is>
      </c>
      <c r="C7" s="12" t="inlineStr">
        <is>
          <t>Financial / QoE</t>
        </is>
      </c>
      <c r="D7" s="16" t="inlineStr">
        <is>
          <t>MEDIUM-HIGH</t>
        </is>
      </c>
      <c r="E7" s="13" t="n">
        <v>3000</v>
      </c>
      <c r="F7" s="13" t="n">
        <v>5000</v>
      </c>
      <c r="G7" s="12" t="inlineStr">
        <is>
          <t>$3–5M additional annual capex; $9.8M near-term replacement</t>
        </is>
      </c>
      <c r="H7" s="12" t="inlineStr">
        <is>
          <t>Open</t>
        </is>
      </c>
    </row>
    <row r="8" ht="40" customHeight="1">
      <c r="A8" s="6" t="inlineStr">
        <is>
          <t>RF-06</t>
        </is>
      </c>
      <c r="B8" s="7" t="inlineStr">
        <is>
          <t>Grand Junction Phase II ESA — Stale</t>
        </is>
      </c>
      <c r="C8" s="7" t="inlineStr">
        <is>
          <t>Environmental</t>
        </is>
      </c>
      <c r="D8" s="8" t="inlineStr">
        <is>
          <t>HIGH</t>
        </is>
      </c>
      <c r="E8" s="9" t="n">
        <v>2600</v>
      </c>
      <c r="F8" s="9" t="n">
        <v>10000</v>
      </c>
      <c r="G8" s="7" t="inlineStr">
        <is>
          <t>2019 estimate $1.8–2.6M; excludes vapor intrusion, off-site, DNAPL</t>
        </is>
      </c>
      <c r="H8" s="7" t="inlineStr">
        <is>
          <t>Open</t>
        </is>
      </c>
    </row>
    <row r="9" ht="40" customHeight="1">
      <c r="A9" s="11" t="inlineStr">
        <is>
          <t>RF-07</t>
        </is>
      </c>
      <c r="B9" s="12" t="inlineStr">
        <is>
          <t>Active CDPHE Enforcement Action</t>
        </is>
      </c>
      <c r="C9" s="12" t="inlineStr">
        <is>
          <t>Environmental</t>
        </is>
      </c>
      <c r="D9" s="16" t="inlineStr">
        <is>
          <t>MEDIUM-HIGH</t>
        </is>
      </c>
      <c r="E9" s="13" t="n">
        <v>200</v>
      </c>
      <c r="F9" s="13" t="n">
        <v>1163</v>
      </c>
      <c r="G9" s="12" t="inlineStr">
        <is>
          <t>Management $200–450K; CDPHE 31-day position implies $1.16M</t>
        </is>
      </c>
      <c r="H9" s="12" t="inlineStr">
        <is>
          <t>Open</t>
        </is>
      </c>
    </row>
    <row r="10" ht="40" customHeight="1">
      <c r="A10" s="6" t="inlineStr">
        <is>
          <t>RF-08</t>
        </is>
      </c>
      <c r="B10" s="7" t="inlineStr">
        <is>
          <t>Asbestos Long-Tail Liability</t>
        </is>
      </c>
      <c r="C10" s="7" t="inlineStr">
        <is>
          <t>Environmental</t>
        </is>
      </c>
      <c r="D10" s="16" t="inlineStr">
        <is>
          <t>MEDIUM-HIGH</t>
        </is>
      </c>
      <c r="E10" s="9" t="n">
        <v>1000</v>
      </c>
      <c r="F10" s="9" t="n">
        <v>10000</v>
      </c>
      <c r="G10" s="7" t="inlineStr">
        <is>
          <t>Unquantifiable; pre-2015 work entirely uninsured</t>
        </is>
      </c>
      <c r="H10" s="7" t="inlineStr">
        <is>
          <t>Open</t>
        </is>
      </c>
    </row>
    <row r="11" ht="40" customHeight="1">
      <c r="A11" s="11" t="inlineStr">
        <is>
          <t>RF-11</t>
        </is>
      </c>
      <c r="B11" s="12" t="inlineStr">
        <is>
          <t>Salt Lake City Facility — Cascading Consents</t>
        </is>
      </c>
      <c r="C11" s="12" t="inlineStr">
        <is>
          <t>Real Property</t>
        </is>
      </c>
      <c r="D11" s="8" t="inlineStr">
        <is>
          <t>HIGH</t>
        </is>
      </c>
      <c r="E11" s="13" t="n">
        <v>16200</v>
      </c>
      <c r="F11" s="13" t="n">
        <v>16200</v>
      </c>
      <c r="G11" s="12" t="inlineStr">
        <is>
          <t>$16.2M annual revenue at risk from lease termination</t>
        </is>
      </c>
      <c r="H11" s="12" t="inlineStr">
        <is>
          <t>Open</t>
        </is>
      </c>
    </row>
    <row r="12" ht="40" customHeight="1">
      <c r="A12" s="6" t="inlineStr">
        <is>
          <t>RF-12</t>
        </is>
      </c>
      <c r="B12" s="7" t="inlineStr">
        <is>
          <t>Change-of-Control Severance</t>
        </is>
      </c>
      <c r="C12" s="7" t="inlineStr">
        <is>
          <t>Legal / HR</t>
        </is>
      </c>
      <c r="D12" s="16" t="inlineStr">
        <is>
          <t>MEDIUM-HIGH</t>
        </is>
      </c>
      <c r="E12" s="9" t="n">
        <v>2625</v>
      </c>
      <c r="F12" s="9" t="n">
        <v>3775</v>
      </c>
      <c r="G12" s="7" t="inlineStr">
        <is>
          <t>$2.625M certain at closing; up to $3.775M total</t>
        </is>
      </c>
      <c r="H12" s="7" t="inlineStr">
        <is>
          <t>Open</t>
        </is>
      </c>
    </row>
    <row r="13" ht="40" customHeight="1">
      <c r="A13" s="11" t="inlineStr">
        <is>
          <t>RF-13</t>
        </is>
      </c>
      <c r="B13" s="12" t="inlineStr">
        <is>
          <t>Ramirez Personal Injury Lawsuit</t>
        </is>
      </c>
      <c r="C13" s="12" t="inlineStr">
        <is>
          <t>Legal</t>
        </is>
      </c>
      <c r="D13" s="17" t="inlineStr">
        <is>
          <t>MEDIUM</t>
        </is>
      </c>
      <c r="E13" s="13" t="n">
        <v>500</v>
      </c>
      <c r="F13" s="13" t="n">
        <v>4800</v>
      </c>
      <c r="G13" s="12" t="inlineStr">
        <is>
          <t>Management $500K–$1.5M; up to $4.8M if coverage denied</t>
        </is>
      </c>
      <c r="H13" s="12" t="inlineStr">
        <is>
          <t>Open</t>
        </is>
      </c>
    </row>
    <row r="14" ht="40" customHeight="1">
      <c r="A14" s="6" t="inlineStr">
        <is>
          <t>RF-15</t>
        </is>
      </c>
      <c r="B14" s="7" t="inlineStr">
        <is>
          <t>Credit Agreement Mandatory Prepayment</t>
        </is>
      </c>
      <c r="C14" s="7" t="inlineStr">
        <is>
          <t>Structural</t>
        </is>
      </c>
      <c r="D14" s="8" t="inlineStr">
        <is>
          <t>HIGH</t>
        </is>
      </c>
      <c r="E14" s="9" t="n">
        <v>39163</v>
      </c>
      <c r="F14" s="9" t="n">
        <v>39263</v>
      </c>
      <c r="G14" s="7" t="inlineStr">
        <is>
          <t>$38.7M principal + $263K premium + $200–300K accrued interest</t>
        </is>
      </c>
      <c r="H14" s="7" t="inlineStr">
        <is>
          <t>Open</t>
        </is>
      </c>
    </row>
    <row r="15" ht="22" customHeight="1">
      <c r="A15" s="19" t="inlineStr">
        <is>
          <t>TOTAL QUANTIFIED EXPOSURE (excl. unquantifiable items)</t>
        </is>
      </c>
      <c r="B15" s="20" t="n"/>
      <c r="C15" s="20" t="n"/>
      <c r="D15" s="20" t="n"/>
      <c r="E15" s="21">
        <f>SUM(E4:E14)</f>
        <v/>
      </c>
      <c r="F15" s="21">
        <f>SUM(F4:F14)</f>
        <v/>
      </c>
      <c r="G15" s="20" t="n"/>
      <c r="H15" s="20" t="n"/>
    </row>
    <row r="16" ht="40" customHeight="1">
      <c r="A16" s="22" t="inlineStr">
        <is>
          <t>Note: Unquantifiable items (RF-05, RF-08 asbestos tail, RF-09, RF-10, RF-14) excluded from totals. Exposure ranges are estimates based on data room review; independent verification required. Credit Agreement prepayment (RF-15) is a use of proceeds, not a net loss, but is included to reflect total cash required at closing.</t>
        </is>
      </c>
    </row>
  </sheetData>
  <mergeCells count="4">
    <mergeCell ref="A15:D15"/>
    <mergeCell ref="A16:H16"/>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5" customWidth="1" min="1" max="1"/>
    <col width="50" customWidth="1" min="2" max="2"/>
    <col width="20" customWidth="1" min="3" max="3"/>
    <col width="18" customWidth="1" min="4" max="4"/>
    <col width="20" customWidth="1" min="5" max="5"/>
    <col width="12" customWidth="1" min="6" max="6"/>
    <col width="40" customWidth="1" min="7" max="7"/>
  </cols>
  <sheetData>
    <row r="1" ht="28" customHeight="1">
      <c r="A1" s="18" t="inlineStr">
        <is>
          <t>PROJECT RIDGELINE — PRE-CLOSING CONDITIONS CHECKLIST</t>
        </is>
      </c>
    </row>
    <row r="2" ht="16" customHeight="1">
      <c r="A2" s="2" t="inlineStr">
        <is>
          <t>Items that must be resolved before signing or closing the definitive SPA  |  December 2024  |  CONFIDENTIAL</t>
        </is>
      </c>
    </row>
    <row r="3" ht="30" customHeight="1">
      <c r="A3" s="3" t="inlineStr">
        <is>
          <t>#</t>
        </is>
      </c>
      <c r="B3" s="3" t="inlineStr">
        <is>
          <t>Condition</t>
        </is>
      </c>
      <c r="C3" s="3" t="inlineStr">
        <is>
          <t>Related Red Flag(s)</t>
        </is>
      </c>
      <c r="D3" s="3" t="inlineStr">
        <is>
          <t>Timing</t>
        </is>
      </c>
      <c r="E3" s="3" t="inlineStr">
        <is>
          <t>Responsible Party</t>
        </is>
      </c>
      <c r="F3" s="3" t="inlineStr">
        <is>
          <t>Status</t>
        </is>
      </c>
      <c r="G3" s="3" t="inlineStr">
        <is>
          <t>Notes</t>
        </is>
      </c>
    </row>
    <row r="4" ht="55" customHeight="1">
      <c r="A4" s="6" t="n">
        <v>1</v>
      </c>
      <c r="B4" s="7" t="inlineStr">
        <is>
          <t>Reconcile EBITDA bridge and confirm governing Adjusted EBITDA figure</t>
        </is>
      </c>
      <c r="C4" s="7" t="inlineStr">
        <is>
          <t>RF-01, RF-02</t>
        </is>
      </c>
      <c r="D4" s="7" t="inlineStr">
        <is>
          <t>Pre-signing</t>
        </is>
      </c>
      <c r="E4" s="7" t="inlineStr">
        <is>
          <t>Seller / QoE Advisor</t>
        </is>
      </c>
      <c r="F4" s="8" t="inlineStr">
        <is>
          <t>Open</t>
        </is>
      </c>
      <c r="G4" s="7" t="inlineStr">
        <is>
          <t>Demand fully reconciled bridge with line-item support; confirm LOI purchase price basis</t>
        </is>
      </c>
    </row>
    <row r="5" ht="55" customHeight="1">
      <c r="A5" s="11" t="n">
        <v>2</v>
      </c>
      <c r="B5" s="12" t="inlineStr">
        <is>
          <t>Commission updated Phase II ESA and vapor intrusion assessment at Grand Junction</t>
        </is>
      </c>
      <c r="C5" s="12" t="inlineStr">
        <is>
          <t>RF-06</t>
        </is>
      </c>
      <c r="D5" s="12" t="inlineStr">
        <is>
          <t>Pre-closing</t>
        </is>
      </c>
      <c r="E5" s="12" t="inlineStr">
        <is>
          <t>Buyer (environmental consultant)</t>
        </is>
      </c>
      <c r="F5" s="8" t="inlineStr">
        <is>
          <t>Open</t>
        </is>
      </c>
      <c r="G5" s="12" t="inlineStr">
        <is>
          <t>Elkhorn or independent firm; update 2019 assessment; conduct sub-slab and indoor air sampling</t>
        </is>
      </c>
    </row>
    <row r="6" ht="55" customHeight="1">
      <c r="A6" s="6" t="n">
        <v>3</v>
      </c>
      <c r="B6" s="7" t="inlineStr">
        <is>
          <t>Obtain DOE Contracting Officer written confirmation re: ceiling modification and novation</t>
        </is>
      </c>
      <c r="C6" s="7" t="inlineStr">
        <is>
          <t>RF-03</t>
        </is>
      </c>
      <c r="D6" s="7" t="inlineStr">
        <is>
          <t>Pre-signing</t>
        </is>
      </c>
      <c r="E6" s="7" t="inlineStr">
        <is>
          <t>Seller / Buyer jointly</t>
        </is>
      </c>
      <c r="F6" s="8" t="inlineStr">
        <is>
          <t>Open</t>
        </is>
      </c>
      <c r="G6" s="7" t="inlineStr">
        <is>
          <t>Critical — $12.1M revenue headwind if ceiling not increased; novation required for stock acquisition</t>
        </is>
      </c>
    </row>
    <row r="7" ht="55" customHeight="1">
      <c r="A7" s="11" t="n">
        <v>4</v>
      </c>
      <c r="B7" s="12" t="inlineStr">
        <is>
          <t>Obtain SLC landlord (Wasatch Industrial Properties) consent to Pinnacle-to-RES assignment AND Sycamore acquisition</t>
        </is>
      </c>
      <c r="C7" s="12" t="inlineStr">
        <is>
          <t>RF-11</t>
        </is>
      </c>
      <c r="D7" s="12" t="inlineStr">
        <is>
          <t>Pre-closing</t>
        </is>
      </c>
      <c r="E7" s="12" t="inlineStr">
        <is>
          <t>Seller</t>
        </is>
      </c>
      <c r="F7" s="8" t="inlineStr">
        <is>
          <t>Open</t>
        </is>
      </c>
      <c r="G7" s="12" t="inlineStr">
        <is>
          <t>Dual consent required; landlord inquiry in Nov 2024 signals awareness; treat as hard closing condition</t>
        </is>
      </c>
    </row>
    <row r="8" ht="55" customHeight="1">
      <c r="A8" s="6" t="n">
        <v>5</v>
      </c>
      <c r="B8" s="7" t="inlineStr">
        <is>
          <t>Complete Utah hazardous waste permit transfer (UTH-0441) from Pinnacle to RES</t>
        </is>
      </c>
      <c r="C8" s="7" t="inlineStr">
        <is>
          <t>RF-11</t>
        </is>
      </c>
      <c r="D8" s="7" t="inlineStr">
        <is>
          <t>Pre-closing</t>
        </is>
      </c>
      <c r="E8" s="7" t="inlineStr">
        <is>
          <t>Seller / Utah DEQ</t>
        </is>
      </c>
      <c r="F8" s="8" t="inlineStr">
        <is>
          <t>Open</t>
        </is>
      </c>
      <c r="G8" s="7" t="inlineStr">
        <is>
          <t>Facility currently operating under dormant subsidiary's permit; regulatory violation risk</t>
        </is>
      </c>
    </row>
    <row r="9" ht="55" customHeight="1">
      <c r="A9" s="11" t="n">
        <v>6</v>
      </c>
      <c r="B9" s="12" t="inlineStr">
        <is>
          <t>Resolve or escrow CDPHE enforcement action (Docket No. CDPHE-HW-2024-0093)</t>
        </is>
      </c>
      <c r="C9" s="12" t="inlineStr">
        <is>
          <t>RF-07</t>
        </is>
      </c>
      <c r="D9" s="12" t="inlineStr">
        <is>
          <t>Pre-closing</t>
        </is>
      </c>
      <c r="E9" s="12" t="inlineStr">
        <is>
          <t>Seller</t>
        </is>
      </c>
      <c r="F9" s="8" t="inlineStr">
        <is>
          <t>Open</t>
        </is>
      </c>
      <c r="G9" s="12" t="inlineStr">
        <is>
          <t>Settlement conference expected Q1 2025; escrow $1.16M (CDPHE's maximum position) if not resolved</t>
        </is>
      </c>
    </row>
    <row r="10" ht="55" customHeight="1">
      <c r="A10" s="6" t="n">
        <v>7</v>
      </c>
      <c r="B10" s="7" t="inlineStr">
        <is>
          <t>Arrange acquisition financing to refinance High Plains National Bank credit facility</t>
        </is>
      </c>
      <c r="C10" s="7" t="inlineStr">
        <is>
          <t>RF-15</t>
        </is>
      </c>
      <c r="D10" s="7" t="inlineStr">
        <is>
          <t>Pre-closing</t>
        </is>
      </c>
      <c r="E10" s="7" t="inlineStr">
        <is>
          <t>Buyer</t>
        </is>
      </c>
      <c r="F10" s="8" t="inlineStr">
        <is>
          <t>Open</t>
        </is>
      </c>
      <c r="G10" s="7" t="inlineStr">
        <is>
          <t>$38.7M + $263K premium + accrued interest; 5-business-day prepayment window after closing</t>
        </is>
      </c>
    </row>
    <row r="11" ht="55" customHeight="1">
      <c r="A11" s="11" t="n">
        <v>8</v>
      </c>
      <c r="B11" s="12" t="inlineStr">
        <is>
          <t>Negotiate and execute post-closing employment arrangements with Derek and Jason Calloway</t>
        </is>
      </c>
      <c r="C11" s="12" t="inlineStr">
        <is>
          <t>RF-12</t>
        </is>
      </c>
      <c r="D11" s="12" t="inlineStr">
        <is>
          <t>Pre-signing</t>
        </is>
      </c>
      <c r="E11" s="12" t="inlineStr">
        <is>
          <t>Buyer / Sellers</t>
        </is>
      </c>
      <c r="F11" s="8" t="inlineStr">
        <is>
          <t>Open</t>
        </is>
      </c>
      <c r="G11" s="12" t="inlineStr">
        <is>
          <t>Single-trigger CoC severance ($2.625M) payable at closing regardless; new employment terms needed</t>
        </is>
      </c>
    </row>
    <row r="12" ht="55" customHeight="1">
      <c r="A12" s="6" t="n">
        <v>9</v>
      </c>
      <c r="B12" s="7" t="inlineStr">
        <is>
          <t>Obtain customer consent/waiver letters from all contracts with assignment/CoC provisions</t>
        </is>
      </c>
      <c r="C12" s="7" t="inlineStr">
        <is>
          <t>RF-10, RF-11</t>
        </is>
      </c>
      <c r="D12" s="7" t="inlineStr">
        <is>
          <t>Pre-closing</t>
        </is>
      </c>
      <c r="E12" s="7" t="inlineStr">
        <is>
          <t>Seller</t>
        </is>
      </c>
      <c r="F12" s="8" t="inlineStr">
        <is>
          <t>Open</t>
        </is>
      </c>
      <c r="G12" s="7" t="inlineStr">
        <is>
          <t>8 of top 20 contracts require action; DOE novation; Intermountain Health consent; Rocky Mountain Pipeline consent</t>
        </is>
      </c>
    </row>
    <row r="13" ht="55" customHeight="1">
      <c r="A13" s="11" t="n">
        <v>10</v>
      </c>
      <c r="B13" s="12" t="inlineStr">
        <is>
          <t>Confirm Intermountain Health Systems contract renewal (expires June 30, 2025)</t>
        </is>
      </c>
      <c r="C13" s="12" t="inlineStr">
        <is>
          <t>RF-10</t>
        </is>
      </c>
      <c r="D13" s="12" t="inlineStr">
        <is>
          <t>Pre-closing</t>
        </is>
      </c>
      <c r="E13" s="12" t="inlineStr">
        <is>
          <t>Seller</t>
        </is>
      </c>
      <c r="F13" s="8" t="inlineStr">
        <is>
          <t>Open</t>
        </is>
      </c>
      <c r="G13" s="12" t="inlineStr">
        <is>
          <t>Renewal decision expected February 2025; $7.1M revenue at risk if not renewed</t>
        </is>
      </c>
    </row>
    <row r="14" ht="55" customHeight="1">
      <c r="A14" s="6" t="n">
        <v>11</v>
      </c>
      <c r="B14" s="7" t="inlineStr">
        <is>
          <t>Obtain independent actuarial assessment of asbestos tail liability; procure tail coverage or negotiate specific indemnification</t>
        </is>
      </c>
      <c r="C14" s="7" t="inlineStr">
        <is>
          <t>RF-08</t>
        </is>
      </c>
      <c r="D14" s="7" t="inlineStr">
        <is>
          <t>Pre-closing</t>
        </is>
      </c>
      <c r="E14" s="7" t="inlineStr">
        <is>
          <t>Buyer (actuary) / Seller</t>
        </is>
      </c>
      <c r="F14" s="8" t="inlineStr">
        <is>
          <t>Open</t>
        </is>
      </c>
      <c r="G14" s="7" t="inlineStr">
        <is>
          <t>Pre-2015 work (2012–2014) entirely uninsured; 145 project sites; 10–40 year disease latency</t>
        </is>
      </c>
    </row>
    <row r="15" ht="55" customHeight="1">
      <c r="A15" s="11" t="n">
        <v>12</v>
      </c>
      <c r="B15" s="12" t="inlineStr">
        <is>
          <t>Obtain written confirmation from Wyoming DEQ re: Casper permit renewal timeline</t>
        </is>
      </c>
      <c r="C15" s="12" t="inlineStr">
        <is>
          <t>RF-09</t>
        </is>
      </c>
      <c r="D15" s="12" t="inlineStr">
        <is>
          <t>Pre-closing</t>
        </is>
      </c>
      <c r="E15" s="12" t="inlineStr">
        <is>
          <t>Seller</t>
        </is>
      </c>
      <c r="F15" s="8" t="inlineStr">
        <is>
          <t>Open</t>
        </is>
      </c>
      <c r="G15" s="12" t="inlineStr">
        <is>
          <t>Permit expired November 30, 2024; operating on timely renewal provisions; renewal expected Q1 2025</t>
        </is>
      </c>
    </row>
    <row r="16" ht="55" customHeight="1">
      <c r="A16" s="6" t="n">
        <v>13</v>
      </c>
      <c r="B16" s="7" t="inlineStr">
        <is>
          <t>Obtain full details of NLRB Teamsters election petition (filed November 4, 2024)</t>
        </is>
      </c>
      <c r="C16" s="7" t="inlineStr">
        <is>
          <t>RF-14</t>
        </is>
      </c>
      <c r="D16" s="7" t="inlineStr">
        <is>
          <t>Pre-signing</t>
        </is>
      </c>
      <c r="E16" s="7" t="inlineStr">
        <is>
          <t>Seller</t>
        </is>
      </c>
      <c r="F16" s="8" t="inlineStr">
        <is>
          <t>Open</t>
        </is>
      </c>
      <c r="G16" s="7" t="inlineStr">
        <is>
          <t>62 field technicians at Grand Junction and Casper; not disclosed in CIM; assess election probability</t>
        </is>
      </c>
    </row>
    <row r="17" ht="55" customHeight="1">
      <c r="A17" s="11" t="n">
        <v>14</v>
      </c>
      <c r="B17" s="12" t="inlineStr">
        <is>
          <t>Deliver FY2022–FY2024 GAAP-audited financial statements (currently only reviewed for FY2024)</t>
        </is>
      </c>
      <c r="C17" s="12" t="inlineStr">
        <is>
          <t>LOI §8(i)</t>
        </is>
      </c>
      <c r="D17" s="12" t="inlineStr">
        <is>
          <t>Pre-closing</t>
        </is>
      </c>
      <c r="E17" s="12" t="inlineStr">
        <is>
          <t>Seller</t>
        </is>
      </c>
      <c r="F17" s="8" t="inlineStr">
        <is>
          <t>Open</t>
        </is>
      </c>
      <c r="G17" s="12" t="inlineStr">
        <is>
          <t>LOI requires audited financials as closing condition; current auditor is Hansen &amp; Whitfield (local CPA firm)</t>
        </is>
      </c>
    </row>
    <row r="18" ht="55" customHeight="1">
      <c r="A18" s="6" t="n">
        <v>15</v>
      </c>
      <c r="B18" s="7" t="inlineStr">
        <is>
          <t>Verify no existing Events of Default under Credit Agreement prior to closing</t>
        </is>
      </c>
      <c r="C18" s="7" t="inlineStr">
        <is>
          <t>RF-07, RF-09, RF-15</t>
        </is>
      </c>
      <c r="D18" s="7" t="inlineStr">
        <is>
          <t>Pre-closing</t>
        </is>
      </c>
      <c r="E18" s="7" t="inlineStr">
        <is>
          <t>Buyer / Lender</t>
        </is>
      </c>
      <c r="F18" s="8" t="inlineStr">
        <is>
          <t>Open</t>
        </is>
      </c>
      <c r="G18" s="7" t="inlineStr">
        <is>
          <t>Potential triggers: CDPHE action (&gt;$1M threshold), Wyoming permit expiration, environmental remediation order</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18" customWidth="1" min="1" max="1"/>
    <col width="14" customWidth="1" min="2" max="2"/>
    <col width="60" customWidth="1" min="3" max="3"/>
    <col width="40" customWidth="1" min="4" max="4"/>
  </cols>
  <sheetData>
    <row r="1" ht="26" customHeight="1">
      <c r="A1" s="23" t="inlineStr">
        <is>
          <t>LEGEND — SEVERITY RATINGS &amp; STATUS CODES</t>
        </is>
      </c>
    </row>
    <row r="2" ht="20" customHeight="1">
      <c r="A2" s="24" t="inlineStr">
        <is>
          <t>SEVERITY RATINGS</t>
        </is>
      </c>
    </row>
    <row r="3" ht="22" customHeight="1">
      <c r="A3" s="3" t="inlineStr">
        <is>
          <t>Rating</t>
        </is>
      </c>
      <c r="B3" s="3" t="inlineStr">
        <is>
          <t>Color</t>
        </is>
      </c>
      <c r="C3" s="3" t="inlineStr">
        <is>
          <t>Definition</t>
        </is>
      </c>
      <c r="D3" s="3" t="inlineStr">
        <is>
          <t>Action / Implication</t>
        </is>
      </c>
    </row>
    <row r="4" ht="40" customHeight="1">
      <c r="A4" s="15" t="inlineStr">
        <is>
          <t>CRITICAL</t>
        </is>
      </c>
      <c r="B4" s="25" t="inlineStr"/>
      <c r="C4" s="7" t="inlineStr">
        <is>
          <t>Potential deal-breaker; material impact on valuation or ability to close; requires immediate resolution</t>
        </is>
      </c>
      <c r="D4" s="7" t="inlineStr">
        <is>
          <t>Pre-signing resolution or walk-away</t>
        </is>
      </c>
    </row>
    <row r="5" ht="40" customHeight="1">
      <c r="A5" s="8" t="inlineStr">
        <is>
          <t>HIGH</t>
        </is>
      </c>
      <c r="B5" s="26" t="inlineStr"/>
      <c r="C5" s="7" t="inlineStr">
        <is>
          <t>Significant financial, legal, or operational risk; material impact on valuation or deal structure</t>
        </is>
      </c>
      <c r="D5" s="7" t="inlineStr">
        <is>
          <t>Pre-closing condition or significant price adjustment</t>
        </is>
      </c>
    </row>
    <row r="6" ht="40" customHeight="1">
      <c r="A6" s="16" t="inlineStr">
        <is>
          <t>MEDIUM-HIGH</t>
        </is>
      </c>
      <c r="B6" s="27" t="inlineStr"/>
      <c r="C6" s="7" t="inlineStr">
        <is>
          <t>Meaningful risk requiring specific SPA protection and/or purchase price adjustment</t>
        </is>
      </c>
      <c r="D6" s="7" t="inlineStr">
        <is>
          <t>Specific indemnification, escrow, or rep &amp; warranty</t>
        </is>
      </c>
    </row>
    <row r="7" ht="40" customHeight="1">
      <c r="A7" s="17" t="inlineStr">
        <is>
          <t>MEDIUM</t>
        </is>
      </c>
      <c r="B7" s="28" t="inlineStr"/>
      <c r="C7" s="7" t="inlineStr">
        <is>
          <t>Moderate risk; manageable with appropriate SPA protections and monitoring</t>
        </is>
      </c>
      <c r="D7" s="7" t="inlineStr">
        <is>
          <t>Standard rep &amp; warranty; monitor through closing</t>
        </is>
      </c>
    </row>
    <row r="8" ht="10" customHeight="1"/>
    <row r="9" ht="20" customHeight="1">
      <c r="A9" s="24" t="inlineStr">
        <is>
          <t>STATUS CODES</t>
        </is>
      </c>
    </row>
    <row r="10" ht="22" customHeight="1">
      <c r="A10" s="3" t="inlineStr">
        <is>
          <t>Status</t>
        </is>
      </c>
      <c r="B10" s="3" t="inlineStr">
        <is>
          <t>Color</t>
        </is>
      </c>
      <c r="C10" s="3" t="inlineStr">
        <is>
          <t>Definition</t>
        </is>
      </c>
      <c r="D10" s="3" t="inlineStr">
        <is>
          <t>Action / Implication</t>
        </is>
      </c>
    </row>
    <row r="11" ht="40" customHeight="1">
      <c r="A11" s="8" t="inlineStr">
        <is>
          <t>Open</t>
        </is>
      </c>
      <c r="B11" s="26" t="inlineStr"/>
      <c r="C11" s="7" t="inlineStr">
        <is>
          <t>Issue identified; no resolution action taken or underway</t>
        </is>
      </c>
      <c r="D11" s="7" t="inlineStr"/>
    </row>
    <row r="12" ht="40" customHeight="1">
      <c r="A12" s="16" t="inlineStr">
        <is>
          <t>In Progress</t>
        </is>
      </c>
      <c r="B12" s="27" t="inlineStr"/>
      <c r="C12" s="7" t="inlineStr">
        <is>
          <t>Resolution action underway; outcome pending</t>
        </is>
      </c>
      <c r="D12" s="7" t="inlineStr"/>
    </row>
    <row r="13" ht="40" customHeight="1">
      <c r="A13" s="17" t="inlineStr">
        <is>
          <t>Pending</t>
        </is>
      </c>
      <c r="B13" s="28" t="inlineStr"/>
      <c r="C13" s="7" t="inlineStr">
        <is>
          <t>Awaiting third-party action or information</t>
        </is>
      </c>
      <c r="D13" s="7" t="inlineStr"/>
    </row>
    <row r="14" ht="40" customHeight="1">
      <c r="A14" s="29" t="inlineStr">
        <is>
          <t>Resolved</t>
        </is>
      </c>
      <c r="B14" s="30" t="inlineStr"/>
      <c r="C14" s="7" t="inlineStr">
        <is>
          <t>Issue resolved; no further action required</t>
        </is>
      </c>
      <c r="D14" s="7" t="inlineStr"/>
    </row>
  </sheetData>
  <mergeCells count="3">
    <mergeCell ref="A1:D1"/>
    <mergeCell ref="A9:D9"/>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2026-08-17T20:18:59Z</dcterms:created>
  <dcterms:modified xmlns:dcterms="http://purl.org/dc/terms/" xmlns:xsi="http://www.w3.org/2001/XMLSchema-instance" xsi:type="dcterms:W3CDTF">2026-08-17T20:18:59Z</dcterms:modified>
</cp:coreProperties>
</file>